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onel.beaudet\Projets_IT\Achats_extractInvoice\"/>
    </mc:Choice>
  </mc:AlternateContent>
  <xr:revisionPtr revIDLastSave="0" documentId="13_ncr:1_{F7D2AD23-C5E4-4364-B343-0497931DD2DD}" xr6:coauthVersionLast="47" xr6:coauthVersionMax="47" xr10:uidLastSave="{00000000-0000-0000-0000-000000000000}"/>
  <bookViews>
    <workbookView xWindow="1875" yWindow="4770" windowWidth="2472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M73" i="1"/>
  <c r="M52" i="1"/>
  <c r="M89" i="1"/>
  <c r="M54" i="1"/>
  <c r="N78" i="1"/>
  <c r="N101" i="1"/>
  <c r="N35" i="1"/>
  <c r="N36" i="1"/>
  <c r="M64" i="1"/>
  <c r="M88" i="1"/>
  <c r="M19" i="1"/>
  <c r="M55" i="1"/>
  <c r="M93" i="1"/>
  <c r="M101" i="1"/>
  <c r="M33" i="1"/>
  <c r="M35" i="1"/>
  <c r="M14" i="1"/>
  <c r="M45" i="1"/>
  <c r="M38" i="1"/>
  <c r="M36" i="1"/>
  <c r="N23" i="1"/>
  <c r="N60" i="1"/>
  <c r="N83" i="1"/>
  <c r="N72" i="1"/>
  <c r="N21" i="1"/>
  <c r="N40" i="1"/>
  <c r="N113" i="1"/>
  <c r="N90" i="1"/>
  <c r="N50" i="1"/>
  <c r="N42" i="1"/>
  <c r="N24" i="1"/>
  <c r="N12" i="1"/>
  <c r="N13" i="1"/>
  <c r="N63" i="1"/>
  <c r="M75" i="1"/>
  <c r="M46" i="1"/>
  <c r="M53" i="1"/>
  <c r="M77" i="1"/>
  <c r="M11" i="1"/>
  <c r="N88" i="1"/>
  <c r="N93" i="1"/>
  <c r="N33" i="1"/>
  <c r="N38" i="1"/>
  <c r="M78" i="1"/>
  <c r="M23" i="1"/>
  <c r="M60" i="1"/>
  <c r="M83" i="1"/>
  <c r="M72" i="1"/>
  <c r="M21" i="1"/>
  <c r="M40" i="1"/>
  <c r="M113" i="1"/>
  <c r="M90" i="1"/>
  <c r="M50" i="1"/>
  <c r="M42" i="1"/>
  <c r="M24" i="1"/>
  <c r="M12" i="1"/>
  <c r="M13" i="1"/>
  <c r="M63" i="1"/>
  <c r="N43" i="1"/>
  <c r="N20" i="1"/>
  <c r="N81" i="1"/>
  <c r="N87" i="1"/>
  <c r="N107" i="1"/>
  <c r="N92" i="1"/>
  <c r="N112" i="1"/>
  <c r="N96" i="1"/>
  <c r="N18" i="1"/>
  <c r="N49" i="1"/>
  <c r="N61" i="1"/>
  <c r="N44" i="1"/>
  <c r="N7" i="1"/>
  <c r="N80" i="1"/>
  <c r="M105" i="1"/>
  <c r="M17" i="1"/>
  <c r="M94" i="1"/>
  <c r="M41" i="1"/>
  <c r="M22" i="1"/>
  <c r="N19" i="1"/>
  <c r="N45" i="1"/>
  <c r="M43" i="1"/>
  <c r="M20" i="1"/>
  <c r="M81" i="1"/>
  <c r="M87" i="1"/>
  <c r="M107" i="1"/>
  <c r="M92" i="1"/>
  <c r="M112" i="1"/>
  <c r="M96" i="1"/>
  <c r="M18" i="1"/>
  <c r="M49" i="1"/>
  <c r="M61" i="1"/>
  <c r="M44" i="1"/>
  <c r="M7" i="1"/>
  <c r="M80" i="1"/>
  <c r="N79" i="1"/>
  <c r="N69" i="1"/>
  <c r="N68" i="1"/>
  <c r="N9" i="1"/>
  <c r="N106" i="1"/>
  <c r="N104" i="1"/>
  <c r="N111" i="1"/>
  <c r="N97" i="1"/>
  <c r="N65" i="1"/>
  <c r="N48" i="1"/>
  <c r="N28" i="1"/>
  <c r="N66" i="1"/>
  <c r="N16" i="1"/>
  <c r="N8" i="1"/>
  <c r="M98" i="1"/>
  <c r="M56" i="1"/>
  <c r="M102" i="1"/>
  <c r="M39" i="1"/>
  <c r="N64" i="1"/>
  <c r="N55" i="1"/>
  <c r="N14" i="1"/>
  <c r="M79" i="1"/>
  <c r="M69" i="1"/>
  <c r="M68" i="1"/>
  <c r="M9" i="1"/>
  <c r="M106" i="1"/>
  <c r="M104" i="1"/>
  <c r="M111" i="1"/>
  <c r="M97" i="1"/>
  <c r="M65" i="1"/>
  <c r="M48" i="1"/>
  <c r="M28" i="1"/>
  <c r="M66" i="1"/>
  <c r="M16" i="1"/>
  <c r="M8" i="1"/>
  <c r="N31" i="1"/>
  <c r="N47" i="1"/>
  <c r="N75" i="1"/>
  <c r="N98" i="1"/>
  <c r="N105" i="1"/>
  <c r="N73" i="1"/>
  <c r="N110" i="1"/>
  <c r="N91" i="1"/>
  <c r="N59" i="1"/>
  <c r="N82" i="1"/>
  <c r="N34" i="1"/>
  <c r="N26" i="1"/>
  <c r="N37" i="1"/>
  <c r="N29" i="1"/>
  <c r="N3" i="1"/>
  <c r="M110" i="1"/>
  <c r="M59" i="1"/>
  <c r="M34" i="1"/>
  <c r="M37" i="1"/>
  <c r="N27" i="1"/>
  <c r="N67" i="1"/>
  <c r="N76" i="1"/>
  <c r="N109" i="1"/>
  <c r="N15" i="1"/>
  <c r="N74" i="1"/>
  <c r="N85" i="1"/>
  <c r="M27" i="1"/>
  <c r="M51" i="1"/>
  <c r="M67" i="1"/>
  <c r="M86" i="1"/>
  <c r="M76" i="1"/>
  <c r="M4" i="1"/>
  <c r="M109" i="1"/>
  <c r="M100" i="1"/>
  <c r="M15" i="1"/>
  <c r="M30" i="1"/>
  <c r="M74" i="1"/>
  <c r="M85" i="1"/>
  <c r="M25" i="1"/>
  <c r="M3" i="1"/>
  <c r="N58" i="1"/>
  <c r="N10" i="1"/>
  <c r="N71" i="1"/>
  <c r="N57" i="1"/>
  <c r="N84" i="1"/>
  <c r="N95" i="1"/>
  <c r="N103" i="1"/>
  <c r="N70" i="1"/>
  <c r="N99" i="1"/>
  <c r="N108" i="1"/>
  <c r="N32" i="1"/>
  <c r="N6" i="1"/>
  <c r="N62" i="1"/>
  <c r="N5" i="1"/>
  <c r="M47" i="1"/>
  <c r="M91" i="1"/>
  <c r="M82" i="1"/>
  <c r="M26" i="1"/>
  <c r="M29" i="1"/>
  <c r="N51" i="1"/>
  <c r="N86" i="1"/>
  <c r="N4" i="1"/>
  <c r="N100" i="1"/>
  <c r="N30" i="1"/>
  <c r="N25" i="1"/>
  <c r="M58" i="1"/>
  <c r="M10" i="1"/>
  <c r="M71" i="1"/>
  <c r="M57" i="1"/>
  <c r="M84" i="1"/>
  <c r="M95" i="1"/>
  <c r="M103" i="1"/>
  <c r="M70" i="1"/>
  <c r="M99" i="1"/>
  <c r="M108" i="1"/>
  <c r="M32" i="1"/>
  <c r="M6" i="1"/>
  <c r="M62" i="1"/>
  <c r="M5" i="1"/>
  <c r="N46" i="1"/>
  <c r="N56" i="1"/>
  <c r="N17" i="1"/>
  <c r="N52" i="1"/>
  <c r="N53" i="1"/>
  <c r="N94" i="1"/>
  <c r="N102" i="1"/>
  <c r="N89" i="1"/>
  <c r="N77" i="1"/>
  <c r="N41" i="1"/>
  <c r="N39" i="1"/>
  <c r="N54" i="1"/>
  <c r="N11" i="1"/>
  <c r="N22" i="1"/>
  <c r="M2" i="1"/>
  <c r="N2" i="1"/>
</calcChain>
</file>

<file path=xl/sharedStrings.xml><?xml version="1.0" encoding="utf-8"?>
<sst xmlns="http://schemas.openxmlformats.org/spreadsheetml/2006/main" count="2215" uniqueCount="428">
  <si>
    <t>Fournisseur</t>
  </si>
  <si>
    <t>Fichier</t>
  </si>
  <si>
    <t>Page</t>
  </si>
  <si>
    <t>Référence</t>
  </si>
  <si>
    <t>Désignation</t>
  </si>
  <si>
    <t>Quantité</t>
  </si>
  <si>
    <t>Prix base</t>
  </si>
  <si>
    <t>Montant HT</t>
  </si>
  <si>
    <t>LYNELEC</t>
  </si>
  <si>
    <t>Lynelec_112177.pdf</t>
  </si>
  <si>
    <t>Lynelec_112178.pdf</t>
  </si>
  <si>
    <t>Lynelec_112179.pdf</t>
  </si>
  <si>
    <t>Lynelec_112630.pdf</t>
  </si>
  <si>
    <t>Lynelec_112631.pdf</t>
  </si>
  <si>
    <t>Lynelec_112632.pdf</t>
  </si>
  <si>
    <t>Lynelec_112633.pdf</t>
  </si>
  <si>
    <t>Lynelec_113196.pdf</t>
  </si>
  <si>
    <t>Lynelec_113198.pdf</t>
  </si>
  <si>
    <t>Lynelec_114955.pdf</t>
  </si>
  <si>
    <t>Lynelec_114957.pdf</t>
  </si>
  <si>
    <t>Lynelec_116679.pdf</t>
  </si>
  <si>
    <t>Lynelec_116680.pdf</t>
  </si>
  <si>
    <t>Lynelec_117204.pdf</t>
  </si>
  <si>
    <t>Lynelec_118087.pdf</t>
  </si>
  <si>
    <t>Lynelec_118091.pdf</t>
  </si>
  <si>
    <t>Lynelec_118094.pdf</t>
  </si>
  <si>
    <t>Lynelec_118095.pdf</t>
  </si>
  <si>
    <t>Lynelec_118098.pdf</t>
  </si>
  <si>
    <t>Lynelec_118105.pdf</t>
  </si>
  <si>
    <t>Lynelec_118106.pdf</t>
  </si>
  <si>
    <t>Lynelec_118116.pdf</t>
  </si>
  <si>
    <t>Lynelec_118464.pdf</t>
  </si>
  <si>
    <t>Lynelec_118465.pdf</t>
  </si>
  <si>
    <t>Lynelec_118913.pdf</t>
  </si>
  <si>
    <t>Lynelec_118914.pdf</t>
  </si>
  <si>
    <t>Lynelec_118915.pdf</t>
  </si>
  <si>
    <t>Lynelec_118916.pdf</t>
  </si>
  <si>
    <t>Lynelec_118918.pdf</t>
  </si>
  <si>
    <t>Lynelec_118919.pdf</t>
  </si>
  <si>
    <t>Lynelec_118920.pdf</t>
  </si>
  <si>
    <t>Lynelec_118921.pdf</t>
  </si>
  <si>
    <t>Lynelec_118922.pdf</t>
  </si>
  <si>
    <t>Lynelec_118923.pdf</t>
  </si>
  <si>
    <t>Lynelec_118924.pdf</t>
  </si>
  <si>
    <t>Lynelec_118925.pdf</t>
  </si>
  <si>
    <t>Lynelec_119860.pdf</t>
  </si>
  <si>
    <t>Lynelec_119861.pdf</t>
  </si>
  <si>
    <t>Lynelec_119862.pdf</t>
  </si>
  <si>
    <t>Lynelec_119863.pdf</t>
  </si>
  <si>
    <t>Lynelec_119864.pdf</t>
  </si>
  <si>
    <t>Lynelec_125263.pdf</t>
  </si>
  <si>
    <t>Lynelec_125266.pdf</t>
  </si>
  <si>
    <t>Lynelec_125267.pdf</t>
  </si>
  <si>
    <t>Lynelec_125268.pdf</t>
  </si>
  <si>
    <t>Lynelec_125269.pdf</t>
  </si>
  <si>
    <t>Lynelec_125270.pdf</t>
  </si>
  <si>
    <t>Lynelec_125272.pdf</t>
  </si>
  <si>
    <t>Lynelec_125273.pdf</t>
  </si>
  <si>
    <t>Lynelec_125274.pdf</t>
  </si>
  <si>
    <t>Lynelec_125275.pdf</t>
  </si>
  <si>
    <t>Lynelec_125276.pdf</t>
  </si>
  <si>
    <t>Lynelec_125278.pdf</t>
  </si>
  <si>
    <t>Lynelec_125279.pdf</t>
  </si>
  <si>
    <t>Lynelec_125280.pdf</t>
  </si>
  <si>
    <t>Lynelec_125281.pdf</t>
  </si>
  <si>
    <t>Lynelec_125282.pdf</t>
  </si>
  <si>
    <t>Lynelec_125283.pdf</t>
  </si>
  <si>
    <t>Lynelec_125285.pdf</t>
  </si>
  <si>
    <t>Lynelec_125287.pdf</t>
  </si>
  <si>
    <t>Lynelec_125288.pdf</t>
  </si>
  <si>
    <t>Lynelec_125289.pdf</t>
  </si>
  <si>
    <t>Lynelec_125291.pdf</t>
  </si>
  <si>
    <t>Lynelec_125292.pdf</t>
  </si>
  <si>
    <t>Lynelec_125293.pdf</t>
  </si>
  <si>
    <t>Lynelec_125294.pdf</t>
  </si>
  <si>
    <t>Lynelec_125295.pdf</t>
  </si>
  <si>
    <t>Lynelec_125296.pdf</t>
  </si>
  <si>
    <t>Lynelec_125297.pdf</t>
  </si>
  <si>
    <t>Lynelec_125302.pdf</t>
  </si>
  <si>
    <t>Lynelec_125303.pdf</t>
  </si>
  <si>
    <t>Lynelec_125304.pdf</t>
  </si>
  <si>
    <t>Lynelec_125306.pdf</t>
  </si>
  <si>
    <t>Lynelec_125309.pdf</t>
  </si>
  <si>
    <t>Lynelec_125311.pdf</t>
  </si>
  <si>
    <t>Lynelec_125312.pdf</t>
  </si>
  <si>
    <t>Lynelec_125313.pdf</t>
  </si>
  <si>
    <t>Lynelec_125314.pdf</t>
  </si>
  <si>
    <t>Lynelec_125315.pdf</t>
  </si>
  <si>
    <t>Lynelec_125316.pdf</t>
  </si>
  <si>
    <t>Lynelec_125317.pdf</t>
  </si>
  <si>
    <t>Lynelec_125321.pdf</t>
  </si>
  <si>
    <t>Lynelec_125322.pdf</t>
  </si>
  <si>
    <t>Lynelec_125323.pdf</t>
  </si>
  <si>
    <t>Lynelec_125327.pdf</t>
  </si>
  <si>
    <t>Lynelec_125331.pdf</t>
  </si>
  <si>
    <t>Lynelec_125334.pdf</t>
  </si>
  <si>
    <t>Lynelec_126600.pdf</t>
  </si>
  <si>
    <t>Lynelec_126602.pdf</t>
  </si>
  <si>
    <t>Lynelec_126606.pdf</t>
  </si>
  <si>
    <t>Lynelec_126607.pdf</t>
  </si>
  <si>
    <t>Lynelec_126608.pdf</t>
  </si>
  <si>
    <t>Lynelec_126609.pdf</t>
  </si>
  <si>
    <t>Lynelec_126610.pdf</t>
  </si>
  <si>
    <t>Lynelec_126611.pdf</t>
  </si>
  <si>
    <t>Lynelec_126614.pdf</t>
  </si>
  <si>
    <t>Lynelec_126618.pdf</t>
  </si>
  <si>
    <t>Lynelec_126619.pdf</t>
  </si>
  <si>
    <t>Lynelec_126620.pdf</t>
  </si>
  <si>
    <t>Lynelec_126621.pdf</t>
  </si>
  <si>
    <t>Lynelec_126622.pdf</t>
  </si>
  <si>
    <t>Lynelec_126623.pdf</t>
  </si>
  <si>
    <t>Lynelec_126624.pdf</t>
  </si>
  <si>
    <t>Lynelec_126625.pdf</t>
  </si>
  <si>
    <t>Lynelec_126626.pdf</t>
  </si>
  <si>
    <t>Lynelec_126627.pdf</t>
  </si>
  <si>
    <t>Lynelec_126628.pdf</t>
  </si>
  <si>
    <t>Lynelec_126629.pdf</t>
  </si>
  <si>
    <t>Lynelec_126630.pdf</t>
  </si>
  <si>
    <t>Lynelec_126632.pdf</t>
  </si>
  <si>
    <t>Lynelec_126636.pdf</t>
  </si>
  <si>
    <t>Lynelec_126642.pdf</t>
  </si>
  <si>
    <t>Lynelec_126643.pdf</t>
  </si>
  <si>
    <t>Lynelec_126647.pdf</t>
  </si>
  <si>
    <t>Lynelec_126657.pdf</t>
  </si>
  <si>
    <t>Lynelec_129508.pdf</t>
  </si>
  <si>
    <t>Lynelec_129509.pdf</t>
  </si>
  <si>
    <t>Lynelec_129510.pdf</t>
  </si>
  <si>
    <t>Lynelec_129511.pdf</t>
  </si>
  <si>
    <t>Lynelec_129512.pdf</t>
  </si>
  <si>
    <t>Lynelec_129514.pdf</t>
  </si>
  <si>
    <t>Lynelec_129515.pdf</t>
  </si>
  <si>
    <t>Lynelec_129516.pdf</t>
  </si>
  <si>
    <t>Lynelec_129517.pdf</t>
  </si>
  <si>
    <t>Lynelec_129518.pdf</t>
  </si>
  <si>
    <t>Lynelec_129519.pdf</t>
  </si>
  <si>
    <t>Lynelec_129520.pdf</t>
  </si>
  <si>
    <t>Lynelec_129521.pdf</t>
  </si>
  <si>
    <t>Lynelec_129522.pdf</t>
  </si>
  <si>
    <t>Lynelec_129523.pdf</t>
  </si>
  <si>
    <t>Lynelec_129524.pdf</t>
  </si>
  <si>
    <t>Lynelec_129525.pdf</t>
  </si>
  <si>
    <t>Lynelec_129526.pdf</t>
  </si>
  <si>
    <t>Lynelec_130537.pdf</t>
  </si>
  <si>
    <t>Lynelec_130538.pdf</t>
  </si>
  <si>
    <t>Lynelec_130539.pdf</t>
  </si>
  <si>
    <t>Lynelec_130540.pdf</t>
  </si>
  <si>
    <t>Lynelec_130541.pdf</t>
  </si>
  <si>
    <t>Lynelec_130542.pdf</t>
  </si>
  <si>
    <t>Lynelec_130543.pdf</t>
  </si>
  <si>
    <t>Lynelec_130544.pdf</t>
  </si>
  <si>
    <t>Lynelec_130545.pdf</t>
  </si>
  <si>
    <t>Lynelec_130549.pdf</t>
  </si>
  <si>
    <t>Lynelec_130550.pdf</t>
  </si>
  <si>
    <t>Lynelec_130551.pdf</t>
  </si>
  <si>
    <t>Lynelec_130552.pdf</t>
  </si>
  <si>
    <t>Lynelec_130553.pdf</t>
  </si>
  <si>
    <t>Lynelec_130554.pdf</t>
  </si>
  <si>
    <t>Lynelec_130555.pdf</t>
  </si>
  <si>
    <t>Lynelec_130556.pdf</t>
  </si>
  <si>
    <t>Lynelec_130557.pdf</t>
  </si>
  <si>
    <t>Lynelec_130558.pdf</t>
  </si>
  <si>
    <t>Lynelec_130559.pdf</t>
  </si>
  <si>
    <t>Lynelec_130560.pdf</t>
  </si>
  <si>
    <t>Lynelec_132486.pdf</t>
  </si>
  <si>
    <t>Lynelec_132487.pdf</t>
  </si>
  <si>
    <t>Lynelec_132488.pdf</t>
  </si>
  <si>
    <t>Lynelec_132489.pdf</t>
  </si>
  <si>
    <t>Lynelec_132490.pdf</t>
  </si>
  <si>
    <t>Lynelec_132491.pdf</t>
  </si>
  <si>
    <t>Lynelec_132492.pdf</t>
  </si>
  <si>
    <t>Lynelec_132494.pdf</t>
  </si>
  <si>
    <t>Lynelec_132495.pdf</t>
  </si>
  <si>
    <t>Lynelec_132496.pdf</t>
  </si>
  <si>
    <t>Lynelec_135368.pdf</t>
  </si>
  <si>
    <t>Lynelec_135369.pdf</t>
  </si>
  <si>
    <t>Lynelec_135370.pdf</t>
  </si>
  <si>
    <t>Lynelec_135371.pdf</t>
  </si>
  <si>
    <t>Lynelec_135372.pdf</t>
  </si>
  <si>
    <t>Lynelec_135373.pdf</t>
  </si>
  <si>
    <t>Lynelec_135374.pdf</t>
  </si>
  <si>
    <t>Lynelec_135375.pdf</t>
  </si>
  <si>
    <t>Lynelec_135376.pdf</t>
  </si>
  <si>
    <t>Lynelec_135377.pdf</t>
  </si>
  <si>
    <t>Lynelec_135378.pdf</t>
  </si>
  <si>
    <t>Lynelec_135379.pdf</t>
  </si>
  <si>
    <t>Lynelec_135380.pdf</t>
  </si>
  <si>
    <t>Lynelec_135381.pdf</t>
  </si>
  <si>
    <t>Lynelec_135382.pdf</t>
  </si>
  <si>
    <t>Lynelec_135384.pdf</t>
  </si>
  <si>
    <t>Lynelec_135385.pdf</t>
  </si>
  <si>
    <t>Lynelec_138091.pdf</t>
  </si>
  <si>
    <t>Lynelec_138093.pdf</t>
  </si>
  <si>
    <t>Lynelec_138094.pdf</t>
  </si>
  <si>
    <t>Lynelec_138095.pdf</t>
  </si>
  <si>
    <t>Lynelec_138096.pdf</t>
  </si>
  <si>
    <t>Lynelec_138097.pdf</t>
  </si>
  <si>
    <t>Lynelec_138098.pdf</t>
  </si>
  <si>
    <t>Lynelec_138099.pdf</t>
  </si>
  <si>
    <t>Lynelec_138100.pdf</t>
  </si>
  <si>
    <t>Lynelec_138101.pdf</t>
  </si>
  <si>
    <t>Lynelec_138102.pdf</t>
  </si>
  <si>
    <t>Lynelec_138103.pdf</t>
  </si>
  <si>
    <t>Lynelec_138104.pdf</t>
  </si>
  <si>
    <t>1621500P</t>
  </si>
  <si>
    <t>1691500P</t>
  </si>
  <si>
    <t>1032500P</t>
  </si>
  <si>
    <t>1031500P</t>
  </si>
  <si>
    <t>1051500P</t>
  </si>
  <si>
    <t>2047500P</t>
  </si>
  <si>
    <t>1305C</t>
  </si>
  <si>
    <t>1303C</t>
  </si>
  <si>
    <t>1329C</t>
  </si>
  <si>
    <t>1009C</t>
  </si>
  <si>
    <t>1012C</t>
  </si>
  <si>
    <t>1101100P</t>
  </si>
  <si>
    <t>10321000C</t>
  </si>
  <si>
    <t>10311000C</t>
  </si>
  <si>
    <t>1055C</t>
  </si>
  <si>
    <t>1015C</t>
  </si>
  <si>
    <t>1011C</t>
  </si>
  <si>
    <t>1014C</t>
  </si>
  <si>
    <t>1008C</t>
  </si>
  <si>
    <t>1056C</t>
  </si>
  <si>
    <t>2691C</t>
  </si>
  <si>
    <t>2695C</t>
  </si>
  <si>
    <t>1623C</t>
  </si>
  <si>
    <t>1624C</t>
  </si>
  <si>
    <t>1052500P</t>
  </si>
  <si>
    <t>1051100P</t>
  </si>
  <si>
    <t>1031100P</t>
  </si>
  <si>
    <t>10321OOP</t>
  </si>
  <si>
    <t>1101C</t>
  </si>
  <si>
    <t>2091500P</t>
  </si>
  <si>
    <t>2045500P</t>
  </si>
  <si>
    <t>2047C</t>
  </si>
  <si>
    <t>2036C</t>
  </si>
  <si>
    <t>1340C</t>
  </si>
  <si>
    <t>10511000C</t>
  </si>
  <si>
    <t>1254C</t>
  </si>
  <si>
    <t>1656C</t>
  </si>
  <si>
    <t>16321OOP</t>
  </si>
  <si>
    <t>1232500P</t>
  </si>
  <si>
    <t>12321OOP</t>
  </si>
  <si>
    <t>1625C</t>
  </si>
  <si>
    <t>1209C</t>
  </si>
  <si>
    <t>1207C</t>
  </si>
  <si>
    <t>2091C</t>
  </si>
  <si>
    <t>1089C</t>
  </si>
  <si>
    <t>2693C</t>
  </si>
  <si>
    <t>1622500P</t>
  </si>
  <si>
    <t>2055C</t>
  </si>
  <si>
    <t>1632C</t>
  </si>
  <si>
    <t>1021500P</t>
  </si>
  <si>
    <t>1631100P</t>
  </si>
  <si>
    <t>1302C</t>
  </si>
  <si>
    <t>005P</t>
  </si>
  <si>
    <t>20471OOP</t>
  </si>
  <si>
    <t>1051050P</t>
  </si>
  <si>
    <t>1547C</t>
  </si>
  <si>
    <t>TRASNPORTIDF</t>
  </si>
  <si>
    <t>733P</t>
  </si>
  <si>
    <t>731P</t>
  </si>
  <si>
    <t>734P</t>
  </si>
  <si>
    <t>723P</t>
  </si>
  <si>
    <t>721P</t>
  </si>
  <si>
    <t>722P</t>
  </si>
  <si>
    <t>724P</t>
  </si>
  <si>
    <t>726P</t>
  </si>
  <si>
    <t>751P</t>
  </si>
  <si>
    <t>753P</t>
  </si>
  <si>
    <t>754P</t>
  </si>
  <si>
    <t>1057C</t>
  </si>
  <si>
    <t>1031050P</t>
  </si>
  <si>
    <t>1052050P</t>
  </si>
  <si>
    <t>1304C</t>
  </si>
  <si>
    <t>1255C</t>
  </si>
  <si>
    <t>1256C</t>
  </si>
  <si>
    <t>033P</t>
  </si>
  <si>
    <t>12521OOP</t>
  </si>
  <si>
    <t>011P</t>
  </si>
  <si>
    <t>012P</t>
  </si>
  <si>
    <t>013P</t>
  </si>
  <si>
    <t>1306C</t>
  </si>
  <si>
    <t>1308C</t>
  </si>
  <si>
    <t>1054C</t>
  </si>
  <si>
    <t>1324C</t>
  </si>
  <si>
    <t>16211OOP</t>
  </si>
  <si>
    <t>2091100P</t>
  </si>
  <si>
    <t>1059C</t>
  </si>
  <si>
    <t>1034050P</t>
  </si>
  <si>
    <t>10521OOP</t>
  </si>
  <si>
    <t>10211OOP</t>
  </si>
  <si>
    <t>1091C</t>
  </si>
  <si>
    <t>1621C</t>
  </si>
  <si>
    <t>1323C</t>
  </si>
  <si>
    <t>7880C</t>
  </si>
  <si>
    <t>10541OOP</t>
  </si>
  <si>
    <t>10211000C</t>
  </si>
  <si>
    <t>TRANSPORT</t>
  </si>
  <si>
    <t>2045C</t>
  </si>
  <si>
    <t>1035C</t>
  </si>
  <si>
    <t>1659C</t>
  </si>
  <si>
    <t>2657C</t>
  </si>
  <si>
    <t>1034C</t>
  </si>
  <si>
    <t>2692C</t>
  </si>
  <si>
    <t>1058C</t>
  </si>
  <si>
    <t>2152500P</t>
  </si>
  <si>
    <t>1631500P</t>
  </si>
  <si>
    <t>1632500P</t>
  </si>
  <si>
    <t>1652C</t>
  </si>
  <si>
    <t>1309C</t>
  </si>
  <si>
    <t>1658C</t>
  </si>
  <si>
    <t>1604C</t>
  </si>
  <si>
    <t>1605C</t>
  </si>
  <si>
    <t>CR1-C12X1.5T500</t>
  </si>
  <si>
    <t>CR1-C11P0.9T500</t>
  </si>
  <si>
    <t>R2V3G2.5T500</t>
  </si>
  <si>
    <t>R2V3G1.5T500</t>
  </si>
  <si>
    <t>R2V5G1.5T500</t>
  </si>
  <si>
    <t>5Paires AWG20T500</t>
  </si>
  <si>
    <t>AR2V1X120</t>
  </si>
  <si>
    <t>AR2V1X70</t>
  </si>
  <si>
    <t>AR2V5G35</t>
  </si>
  <si>
    <t>R2V1X50</t>
  </si>
  <si>
    <t>R2V1X120</t>
  </si>
  <si>
    <t>R2V7G1.5C100</t>
  </si>
  <si>
    <t>R2V3G2.5TGL</t>
  </si>
  <si>
    <t>R2V3G1.5TGL</t>
  </si>
  <si>
    <t>R2V5G10</t>
  </si>
  <si>
    <t>R2V1X240</t>
  </si>
  <si>
    <t>R2V1X95</t>
  </si>
  <si>
    <t>R2V1X185</t>
  </si>
  <si>
    <t>R2V1X35</t>
  </si>
  <si>
    <t>R2V5G16</t>
  </si>
  <si>
    <t>CUIVRENU10</t>
  </si>
  <si>
    <t>CUIVRENU35</t>
  </si>
  <si>
    <t>CR1C12X4</t>
  </si>
  <si>
    <t>CR1C12X6</t>
  </si>
  <si>
    <t>R2V5G2.5T500</t>
  </si>
  <si>
    <t>R2V5G1.5C100</t>
  </si>
  <si>
    <t>R2V3G1.5C100</t>
  </si>
  <si>
    <t>R2V3G2.5C100</t>
  </si>
  <si>
    <t>R2V7G1.5</t>
  </si>
  <si>
    <t>SYT1ROUGE1P0.9AET500</t>
  </si>
  <si>
    <t>3Paires AWG20T500</t>
  </si>
  <si>
    <t>5Paires AWG20</t>
  </si>
  <si>
    <t>112PairesAWG24</t>
  </si>
  <si>
    <t>AR2V4X240</t>
  </si>
  <si>
    <t>R2V5G1.5TGL</t>
  </si>
  <si>
    <t>H07RN-F5G6</t>
  </si>
  <si>
    <t>CR1-C15G16</t>
  </si>
  <si>
    <t>CR1-C13G2.5C100</t>
  </si>
  <si>
    <t>H07RN-F3G2.5T500</t>
  </si>
  <si>
    <t>H07RN-F3G2.5C100</t>
  </si>
  <si>
    <t>CR1C12X10</t>
  </si>
  <si>
    <t>H07RN-F1X70</t>
  </si>
  <si>
    <t>H07RN-F1X35</t>
  </si>
  <si>
    <t>SYT1ROUGE1P0.9AE</t>
  </si>
  <si>
    <t>R2V4X50SANSV/J</t>
  </si>
  <si>
    <t>CUIVRENU25</t>
  </si>
  <si>
    <t>CR1C12X2.5T500</t>
  </si>
  <si>
    <t>56PairesAWG20</t>
  </si>
  <si>
    <t>CR1-C13G2.5</t>
  </si>
  <si>
    <t>R2V2X1.5T500</t>
  </si>
  <si>
    <t>CR1-C13G1.5C100</t>
  </si>
  <si>
    <t>AR2V1X50</t>
  </si>
  <si>
    <t>H07V-U1.5NOIRC100</t>
  </si>
  <si>
    <t>5Paires AWG20C100</t>
  </si>
  <si>
    <t>R2V5G1.5C50</t>
  </si>
  <si>
    <t>SIF/POL1,5KVJAUNE1X6MM2CL.5IEC</t>
  </si>
  <si>
    <t>FRAISDEPORTCDE&lt;200€HT</t>
  </si>
  <si>
    <t>H07V-K2.5NOIRC100</t>
  </si>
  <si>
    <t>H07V-K2.5BLEUCLAIRC100RAL5024</t>
  </si>
  <si>
    <t>H07V-K2.5V/JC100</t>
  </si>
  <si>
    <t>H07V-K1.5NOIRC100</t>
  </si>
  <si>
    <t>H07V-K1.5BLEUCLAIRC100RAL5024</t>
  </si>
  <si>
    <t>H07V-K1.5ROUGEC100</t>
  </si>
  <si>
    <t>H07V-K1.5V/JC100</t>
  </si>
  <si>
    <t>H07V-K1.5ORANGEC100</t>
  </si>
  <si>
    <t>H07V-K6BLEUCLAIRC100</t>
  </si>
  <si>
    <t>H07V-K6NOIRC100</t>
  </si>
  <si>
    <t>H07V-K6V/JC100</t>
  </si>
  <si>
    <t>R2V5G25</t>
  </si>
  <si>
    <t>R2V3G1.5</t>
  </si>
  <si>
    <t>R2V3G1.5C50</t>
  </si>
  <si>
    <t>R2V5G2.5C50</t>
  </si>
  <si>
    <t>AR2V1X95</t>
  </si>
  <si>
    <t>H07RN-F5G10</t>
  </si>
  <si>
    <t>H07RN-F5G16</t>
  </si>
  <si>
    <t>H07V-R6V/JC100</t>
  </si>
  <si>
    <t>H07RN-F5G2.5C100</t>
  </si>
  <si>
    <t>H07V-U2.5BLEUCL.C100</t>
  </si>
  <si>
    <t>H07V-U2.5ROUGEC100</t>
  </si>
  <si>
    <t>H07V-U2.5V/JC100</t>
  </si>
  <si>
    <t>AR2V1X150</t>
  </si>
  <si>
    <t>AR2V1X240</t>
  </si>
  <si>
    <t>R2V5G6</t>
  </si>
  <si>
    <t>AR2V4X95</t>
  </si>
  <si>
    <t>CR1-C12X1.5C100</t>
  </si>
  <si>
    <t>SYT1ROUGE1P0.9AEC100</t>
  </si>
  <si>
    <t>R2V5G50</t>
  </si>
  <si>
    <t>R2V3G6C50</t>
  </si>
  <si>
    <t>R2V5G2.5C100</t>
  </si>
  <si>
    <t>R2V2X1.5C100</t>
  </si>
  <si>
    <t>R2V4X95SANSV/J</t>
  </si>
  <si>
    <t>CR1-C12X1.5</t>
  </si>
  <si>
    <t>AR2V4X70</t>
  </si>
  <si>
    <t>H07V-K35V/JT</t>
  </si>
  <si>
    <t>R2V5G6C100</t>
  </si>
  <si>
    <t>R2V2X1.5TGL</t>
  </si>
  <si>
    <t>FRAISDETRANSPORTEXPRESS</t>
  </si>
  <si>
    <t>3Paires AWG20</t>
  </si>
  <si>
    <t>R2V3G10</t>
  </si>
  <si>
    <t>CR1-C15G50</t>
  </si>
  <si>
    <t>NFC332263X50ALU</t>
  </si>
  <si>
    <t>R2V3G6</t>
  </si>
  <si>
    <t>CUIVRENU16</t>
  </si>
  <si>
    <t>R2V5G35</t>
  </si>
  <si>
    <t>SYT1AI3P0.9T500</t>
  </si>
  <si>
    <t>CR1-C13G1.5T500</t>
  </si>
  <si>
    <t>CR1-C13G2.5T500</t>
  </si>
  <si>
    <t>CR1-C15G2.5</t>
  </si>
  <si>
    <t>AR2V1X300</t>
  </si>
  <si>
    <t>CR1-C15G35</t>
  </si>
  <si>
    <t>CR1C11X50</t>
  </si>
  <si>
    <t>CR1C11X70</t>
  </si>
  <si>
    <t>Nombre</t>
  </si>
  <si>
    <t>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</si>
</sst>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4"/>
  <sheetViews>
    <sheetView tabSelected="1" workbookViewId="0">
      <selection activeCell="L1" sqref="L1:N2"/>
    </sheetView>
  </sheetViews>
  <sheetFormatPr baseColWidth="10" defaultColWidth="9.140625" defaultRowHeight="15" x14ac:dyDescent="0.25"/>
  <cols>
    <col min="1" max="1" width="11.42578125" bestFit="1" customWidth="1"/>
    <col min="2" max="2" width="18.42578125" bestFit="1" customWidth="1"/>
    <col min="3" max="3" width="5.28515625" bestFit="1" customWidth="1"/>
    <col min="4" max="4" width="14.42578125" bestFit="1" customWidth="1"/>
    <col min="5" max="5" width="33" bestFit="1" customWidth="1"/>
    <col min="6" max="6" width="8.85546875" bestFit="1" customWidth="1"/>
    <col min="7" max="7" width="9" bestFit="1" customWidth="1"/>
    <col min="8" max="8" width="11.42578125" bestFit="1" customWidth="1"/>
    <col min="12" max="12" width="33" bestFit="1" customWidth="1"/>
    <col min="14" max="14" width="12.85546875" style="3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L1" s="1" t="s">
        <v>4</v>
      </c>
      <c r="M1" s="1" t="s">
        <v>426</v>
      </c>
      <c r="N1" s="2" t="s">
        <v>427</v>
      </c>
    </row>
    <row r="2" spans="1:14" x14ac:dyDescent="0.25">
      <c r="A2" t="s">
        <v>8</v>
      </c>
      <c r="B2" t="s">
        <v>9</v>
      </c>
      <c r="C2">
        <v>1</v>
      </c>
      <c r="D2" t="s">
        <v>203</v>
      </c>
      <c r="E2" t="s">
        <v>314</v>
      </c>
      <c r="F2">
        <v>2</v>
      </c>
      <c r="G2">
        <v>561</v>
      </c>
      <c r="H2">
        <v>1122</v>
      </c>
      <c r="L2" t="s">
        <v>316</v>
      </c>
      <c r="M2">
        <f>COUNTIF(E:E,L2)</f>
        <v>99</v>
      </c>
      <c r="N2" s="3">
        <f>SUMIF(E:E,L2,H:H)</f>
        <v>104276.5</v>
      </c>
    </row>
    <row r="3" spans="1:14" x14ac:dyDescent="0.25">
      <c r="A3" t="s">
        <v>8</v>
      </c>
      <c r="B3" t="s">
        <v>9</v>
      </c>
      <c r="C3">
        <v>1</v>
      </c>
      <c r="D3" t="s">
        <v>204</v>
      </c>
      <c r="E3" t="s">
        <v>315</v>
      </c>
      <c r="F3">
        <v>2</v>
      </c>
      <c r="G3">
        <v>559</v>
      </c>
      <c r="H3">
        <v>1118</v>
      </c>
      <c r="L3" t="s">
        <v>318</v>
      </c>
      <c r="M3">
        <f t="shared" ref="M3:M33" si="0">COUNTIF(E:E,L3)</f>
        <v>60</v>
      </c>
      <c r="N3" s="3">
        <f t="shared" ref="N3:N33" si="1">SUMIF(E:E,L3,H:H)</f>
        <v>42456</v>
      </c>
    </row>
    <row r="4" spans="1:14" x14ac:dyDescent="0.25">
      <c r="A4" t="s">
        <v>8</v>
      </c>
      <c r="B4" t="s">
        <v>10</v>
      </c>
      <c r="C4">
        <v>1</v>
      </c>
      <c r="D4" t="s">
        <v>205</v>
      </c>
      <c r="E4" t="s">
        <v>316</v>
      </c>
      <c r="F4">
        <v>1</v>
      </c>
      <c r="G4">
        <v>862</v>
      </c>
      <c r="H4">
        <v>862</v>
      </c>
      <c r="L4" t="s">
        <v>382</v>
      </c>
      <c r="M4">
        <f t="shared" si="0"/>
        <v>38</v>
      </c>
      <c r="N4" s="3">
        <f t="shared" si="1"/>
        <v>36951.799999999996</v>
      </c>
    </row>
    <row r="5" spans="1:14" x14ac:dyDescent="0.25">
      <c r="A5" t="s">
        <v>8</v>
      </c>
      <c r="B5" t="s">
        <v>10</v>
      </c>
      <c r="C5">
        <v>1</v>
      </c>
      <c r="D5" t="s">
        <v>206</v>
      </c>
      <c r="E5" t="s">
        <v>317</v>
      </c>
      <c r="F5">
        <v>0.5</v>
      </c>
      <c r="G5">
        <v>564</v>
      </c>
      <c r="H5">
        <v>282</v>
      </c>
      <c r="L5" t="s">
        <v>317</v>
      </c>
      <c r="M5">
        <f t="shared" si="0"/>
        <v>72</v>
      </c>
      <c r="N5" s="3">
        <f t="shared" si="1"/>
        <v>33623</v>
      </c>
    </row>
    <row r="6" spans="1:14" x14ac:dyDescent="0.25">
      <c r="A6" t="s">
        <v>8</v>
      </c>
      <c r="B6" t="s">
        <v>10</v>
      </c>
      <c r="C6">
        <v>1</v>
      </c>
      <c r="D6" t="s">
        <v>207</v>
      </c>
      <c r="E6" t="s">
        <v>318</v>
      </c>
      <c r="F6">
        <v>1</v>
      </c>
      <c r="G6">
        <v>890</v>
      </c>
      <c r="H6">
        <v>890</v>
      </c>
      <c r="L6" t="s">
        <v>333</v>
      </c>
      <c r="M6">
        <f t="shared" si="0"/>
        <v>23</v>
      </c>
      <c r="N6" s="3">
        <f t="shared" si="1"/>
        <v>19569.249999999996</v>
      </c>
    </row>
    <row r="7" spans="1:14" x14ac:dyDescent="0.25">
      <c r="A7" t="s">
        <v>8</v>
      </c>
      <c r="B7" t="s">
        <v>11</v>
      </c>
      <c r="C7">
        <v>1</v>
      </c>
      <c r="D7" t="s">
        <v>208</v>
      </c>
      <c r="E7" t="s">
        <v>319</v>
      </c>
      <c r="F7">
        <v>0.5</v>
      </c>
      <c r="G7">
        <v>773</v>
      </c>
      <c r="H7">
        <v>386.5</v>
      </c>
      <c r="L7" t="s">
        <v>329</v>
      </c>
      <c r="M7">
        <f t="shared" si="0"/>
        <v>2</v>
      </c>
      <c r="N7" s="3">
        <f t="shared" si="1"/>
        <v>15987.95</v>
      </c>
    </row>
    <row r="8" spans="1:14" x14ac:dyDescent="0.25">
      <c r="A8" t="s">
        <v>8</v>
      </c>
      <c r="B8" t="s">
        <v>12</v>
      </c>
      <c r="C8">
        <v>1</v>
      </c>
      <c r="D8" t="s">
        <v>209</v>
      </c>
      <c r="E8" t="s">
        <v>320</v>
      </c>
      <c r="F8">
        <v>0.3</v>
      </c>
      <c r="G8">
        <v>2009.28</v>
      </c>
      <c r="H8">
        <v>602.78</v>
      </c>
      <c r="L8" t="s">
        <v>320</v>
      </c>
      <c r="M8">
        <f t="shared" si="0"/>
        <v>14</v>
      </c>
      <c r="N8" s="3">
        <f t="shared" si="1"/>
        <v>13892.4</v>
      </c>
    </row>
    <row r="9" spans="1:14" x14ac:dyDescent="0.25">
      <c r="A9" t="s">
        <v>8</v>
      </c>
      <c r="B9" t="s">
        <v>12</v>
      </c>
      <c r="C9">
        <v>1</v>
      </c>
      <c r="D9" t="s">
        <v>210</v>
      </c>
      <c r="E9" t="s">
        <v>321</v>
      </c>
      <c r="F9">
        <v>0.1</v>
      </c>
      <c r="G9">
        <v>1254.8800000000001</v>
      </c>
      <c r="H9">
        <v>125.49</v>
      </c>
      <c r="L9" t="s">
        <v>400</v>
      </c>
      <c r="M9">
        <f t="shared" si="0"/>
        <v>2</v>
      </c>
      <c r="N9" s="3">
        <f t="shared" si="1"/>
        <v>9653</v>
      </c>
    </row>
    <row r="10" spans="1:14" x14ac:dyDescent="0.25">
      <c r="A10" t="s">
        <v>8</v>
      </c>
      <c r="B10" t="s">
        <v>12</v>
      </c>
      <c r="C10">
        <v>1</v>
      </c>
      <c r="D10" t="s">
        <v>211</v>
      </c>
      <c r="E10" t="s">
        <v>322</v>
      </c>
      <c r="F10">
        <v>8.5000000000000006E-2</v>
      </c>
      <c r="G10">
        <v>3930.18</v>
      </c>
      <c r="H10">
        <v>334.07</v>
      </c>
      <c r="L10" t="s">
        <v>413</v>
      </c>
      <c r="M10">
        <f t="shared" si="0"/>
        <v>3</v>
      </c>
      <c r="N10" s="3">
        <f t="shared" si="1"/>
        <v>8503.17</v>
      </c>
    </row>
    <row r="11" spans="1:14" x14ac:dyDescent="0.25">
      <c r="A11" t="s">
        <v>8</v>
      </c>
      <c r="B11" t="s">
        <v>13</v>
      </c>
      <c r="C11">
        <v>1</v>
      </c>
      <c r="D11" t="s">
        <v>212</v>
      </c>
      <c r="E11" t="s">
        <v>323</v>
      </c>
      <c r="F11">
        <v>0.08</v>
      </c>
      <c r="G11">
        <v>5402.65</v>
      </c>
      <c r="H11">
        <v>432.21</v>
      </c>
      <c r="L11" t="s">
        <v>324</v>
      </c>
      <c r="M11">
        <f t="shared" si="0"/>
        <v>3</v>
      </c>
      <c r="N11" s="3">
        <f t="shared" si="1"/>
        <v>7971.37</v>
      </c>
    </row>
    <row r="12" spans="1:14" x14ac:dyDescent="0.25">
      <c r="A12" t="s">
        <v>8</v>
      </c>
      <c r="B12" t="s">
        <v>13</v>
      </c>
      <c r="C12">
        <v>1</v>
      </c>
      <c r="D12" t="s">
        <v>213</v>
      </c>
      <c r="E12" t="s">
        <v>324</v>
      </c>
      <c r="F12">
        <v>0.56000000000000005</v>
      </c>
      <c r="G12">
        <v>12766.84</v>
      </c>
      <c r="H12">
        <v>7149.43</v>
      </c>
      <c r="L12" t="s">
        <v>338</v>
      </c>
      <c r="M12">
        <f t="shared" si="0"/>
        <v>8</v>
      </c>
      <c r="N12" s="3">
        <f t="shared" si="1"/>
        <v>7832.5</v>
      </c>
    </row>
    <row r="13" spans="1:14" x14ac:dyDescent="0.25">
      <c r="A13" t="s">
        <v>8</v>
      </c>
      <c r="B13" t="s">
        <v>14</v>
      </c>
      <c r="C13">
        <v>1</v>
      </c>
      <c r="D13" t="s">
        <v>211</v>
      </c>
      <c r="E13" t="s">
        <v>322</v>
      </c>
      <c r="F13">
        <v>0.04</v>
      </c>
      <c r="G13">
        <v>3930.18</v>
      </c>
      <c r="H13">
        <v>157.21</v>
      </c>
      <c r="L13" t="s">
        <v>330</v>
      </c>
      <c r="M13">
        <f t="shared" si="0"/>
        <v>4</v>
      </c>
      <c r="N13" s="3">
        <f t="shared" si="1"/>
        <v>6987.22</v>
      </c>
    </row>
    <row r="14" spans="1:14" x14ac:dyDescent="0.25">
      <c r="A14" t="s">
        <v>8</v>
      </c>
      <c r="B14" t="s">
        <v>14</v>
      </c>
      <c r="C14">
        <v>1</v>
      </c>
      <c r="D14" t="s">
        <v>214</v>
      </c>
      <c r="E14" t="s">
        <v>325</v>
      </c>
      <c r="F14">
        <v>0.3</v>
      </c>
      <c r="G14">
        <v>1649</v>
      </c>
      <c r="H14">
        <v>494.7</v>
      </c>
      <c r="L14" t="s">
        <v>347</v>
      </c>
      <c r="M14">
        <f t="shared" si="0"/>
        <v>2</v>
      </c>
      <c r="N14" s="3">
        <f t="shared" si="1"/>
        <v>6902.95</v>
      </c>
    </row>
    <row r="15" spans="1:14" x14ac:dyDescent="0.25">
      <c r="A15" t="s">
        <v>8</v>
      </c>
      <c r="B15" t="s">
        <v>15</v>
      </c>
      <c r="C15">
        <v>1</v>
      </c>
      <c r="D15" t="s">
        <v>209</v>
      </c>
      <c r="E15" t="s">
        <v>320</v>
      </c>
      <c r="F15">
        <v>1.4999999999999999E-2</v>
      </c>
      <c r="G15">
        <v>2208</v>
      </c>
      <c r="H15">
        <v>33.119999999999997</v>
      </c>
      <c r="L15" t="s">
        <v>358</v>
      </c>
      <c r="M15">
        <f t="shared" si="0"/>
        <v>2</v>
      </c>
      <c r="N15" s="3">
        <f t="shared" si="1"/>
        <v>6332.3600000000006</v>
      </c>
    </row>
    <row r="16" spans="1:14" x14ac:dyDescent="0.25">
      <c r="A16" t="s">
        <v>8</v>
      </c>
      <c r="B16" t="s">
        <v>15</v>
      </c>
      <c r="C16">
        <v>1</v>
      </c>
      <c r="D16" t="s">
        <v>209</v>
      </c>
      <c r="E16" t="s">
        <v>320</v>
      </c>
      <c r="F16">
        <v>0.12</v>
      </c>
      <c r="G16">
        <v>2208</v>
      </c>
      <c r="H16">
        <v>264.95999999999998</v>
      </c>
      <c r="L16" t="s">
        <v>328</v>
      </c>
      <c r="M16">
        <f t="shared" si="0"/>
        <v>12</v>
      </c>
      <c r="N16" s="3">
        <f t="shared" si="1"/>
        <v>6205.66</v>
      </c>
    </row>
    <row r="17" spans="1:14" x14ac:dyDescent="0.25">
      <c r="A17" t="s">
        <v>8</v>
      </c>
      <c r="B17" t="s">
        <v>16</v>
      </c>
      <c r="C17">
        <v>1</v>
      </c>
      <c r="D17" t="s">
        <v>205</v>
      </c>
      <c r="E17" t="s">
        <v>316</v>
      </c>
      <c r="F17">
        <v>0.5</v>
      </c>
      <c r="G17">
        <v>889</v>
      </c>
      <c r="H17">
        <v>444.5</v>
      </c>
      <c r="L17" t="s">
        <v>404</v>
      </c>
      <c r="M17">
        <f t="shared" si="0"/>
        <v>2</v>
      </c>
      <c r="N17" s="3">
        <f t="shared" si="1"/>
        <v>5350.01</v>
      </c>
    </row>
    <row r="18" spans="1:14" x14ac:dyDescent="0.25">
      <c r="A18" t="s">
        <v>8</v>
      </c>
      <c r="B18" t="s">
        <v>17</v>
      </c>
      <c r="C18">
        <v>1</v>
      </c>
      <c r="D18" t="s">
        <v>209</v>
      </c>
      <c r="E18" t="s">
        <v>320</v>
      </c>
      <c r="F18">
        <v>0.1</v>
      </c>
      <c r="G18">
        <v>2010</v>
      </c>
      <c r="H18">
        <v>201</v>
      </c>
      <c r="L18" t="s">
        <v>361</v>
      </c>
      <c r="M18">
        <f t="shared" si="0"/>
        <v>2</v>
      </c>
      <c r="N18" s="3">
        <f t="shared" si="1"/>
        <v>5294.78</v>
      </c>
    </row>
    <row r="19" spans="1:14" x14ac:dyDescent="0.25">
      <c r="A19" t="s">
        <v>8</v>
      </c>
      <c r="B19" t="s">
        <v>18</v>
      </c>
      <c r="C19">
        <v>1</v>
      </c>
      <c r="D19" t="s">
        <v>215</v>
      </c>
      <c r="E19" t="s">
        <v>326</v>
      </c>
      <c r="F19">
        <v>0.25</v>
      </c>
      <c r="G19">
        <v>879</v>
      </c>
      <c r="H19">
        <v>219.75</v>
      </c>
      <c r="L19" t="s">
        <v>395</v>
      </c>
      <c r="M19">
        <f t="shared" si="0"/>
        <v>5</v>
      </c>
      <c r="N19" s="3">
        <f t="shared" si="1"/>
        <v>5204.329999999999</v>
      </c>
    </row>
    <row r="20" spans="1:14" x14ac:dyDescent="0.25">
      <c r="A20" t="s">
        <v>8</v>
      </c>
      <c r="B20" t="s">
        <v>18</v>
      </c>
      <c r="C20">
        <v>1</v>
      </c>
      <c r="D20" t="s">
        <v>216</v>
      </c>
      <c r="E20" t="s">
        <v>327</v>
      </c>
      <c r="F20">
        <v>0.3</v>
      </c>
      <c r="G20">
        <v>571</v>
      </c>
      <c r="H20">
        <v>171.3</v>
      </c>
      <c r="L20" t="s">
        <v>417</v>
      </c>
      <c r="M20">
        <f t="shared" si="0"/>
        <v>1</v>
      </c>
      <c r="N20" s="3">
        <f t="shared" si="1"/>
        <v>4690.5600000000004</v>
      </c>
    </row>
    <row r="21" spans="1:14" x14ac:dyDescent="0.25">
      <c r="A21" t="s">
        <v>8</v>
      </c>
      <c r="B21" t="s">
        <v>18</v>
      </c>
      <c r="C21">
        <v>1</v>
      </c>
      <c r="D21" t="s">
        <v>217</v>
      </c>
      <c r="E21" t="s">
        <v>328</v>
      </c>
      <c r="F21">
        <v>2.5000000000000001E-2</v>
      </c>
      <c r="G21">
        <v>5781.02</v>
      </c>
      <c r="H21">
        <v>144.53</v>
      </c>
      <c r="L21" t="s">
        <v>394</v>
      </c>
      <c r="M21">
        <f t="shared" si="0"/>
        <v>5</v>
      </c>
      <c r="N21" s="3">
        <f t="shared" si="1"/>
        <v>4312.83</v>
      </c>
    </row>
    <row r="22" spans="1:14" x14ac:dyDescent="0.25">
      <c r="A22" t="s">
        <v>8</v>
      </c>
      <c r="B22" t="s">
        <v>19</v>
      </c>
      <c r="C22">
        <v>1</v>
      </c>
      <c r="D22" t="s">
        <v>218</v>
      </c>
      <c r="E22" t="s">
        <v>329</v>
      </c>
      <c r="F22">
        <v>0.46</v>
      </c>
      <c r="G22">
        <v>25177.88</v>
      </c>
      <c r="H22">
        <v>11581.82</v>
      </c>
      <c r="L22" t="s">
        <v>315</v>
      </c>
      <c r="M22">
        <f t="shared" si="0"/>
        <v>7</v>
      </c>
      <c r="N22" s="3">
        <f t="shared" si="1"/>
        <v>3332.5</v>
      </c>
    </row>
    <row r="23" spans="1:14" x14ac:dyDescent="0.25">
      <c r="A23" t="s">
        <v>8</v>
      </c>
      <c r="B23" t="s">
        <v>19</v>
      </c>
      <c r="C23">
        <v>1</v>
      </c>
      <c r="D23" t="s">
        <v>219</v>
      </c>
      <c r="E23" t="s">
        <v>330</v>
      </c>
      <c r="F23">
        <v>0.115</v>
      </c>
      <c r="G23">
        <v>10333.120000000001</v>
      </c>
      <c r="H23">
        <v>1188.31</v>
      </c>
      <c r="L23" t="s">
        <v>314</v>
      </c>
      <c r="M23">
        <f t="shared" si="0"/>
        <v>5</v>
      </c>
      <c r="N23" s="3">
        <f t="shared" si="1"/>
        <v>3150</v>
      </c>
    </row>
    <row r="24" spans="1:14" x14ac:dyDescent="0.25">
      <c r="A24" t="s">
        <v>8</v>
      </c>
      <c r="B24" t="s">
        <v>20</v>
      </c>
      <c r="C24">
        <v>1</v>
      </c>
      <c r="D24" t="s">
        <v>218</v>
      </c>
      <c r="E24" t="s">
        <v>329</v>
      </c>
      <c r="F24">
        <v>0.17499999999999999</v>
      </c>
      <c r="G24">
        <v>25177.88</v>
      </c>
      <c r="H24">
        <v>4406.13</v>
      </c>
      <c r="L24" t="s">
        <v>346</v>
      </c>
      <c r="M24">
        <f t="shared" si="0"/>
        <v>2</v>
      </c>
      <c r="N24" s="3">
        <f t="shared" si="1"/>
        <v>3120</v>
      </c>
    </row>
    <row r="25" spans="1:14" x14ac:dyDescent="0.25">
      <c r="A25" t="s">
        <v>8</v>
      </c>
      <c r="B25" t="s">
        <v>21</v>
      </c>
      <c r="C25">
        <v>1</v>
      </c>
      <c r="D25" t="s">
        <v>205</v>
      </c>
      <c r="E25" t="s">
        <v>316</v>
      </c>
      <c r="F25">
        <v>1.5</v>
      </c>
      <c r="G25">
        <v>888</v>
      </c>
      <c r="H25">
        <v>1332</v>
      </c>
      <c r="L25" t="s">
        <v>326</v>
      </c>
      <c r="M25">
        <f t="shared" si="0"/>
        <v>7</v>
      </c>
      <c r="N25" s="3">
        <f t="shared" si="1"/>
        <v>2495.65</v>
      </c>
    </row>
    <row r="26" spans="1:14" x14ac:dyDescent="0.25">
      <c r="A26" t="s">
        <v>8</v>
      </c>
      <c r="B26" t="s">
        <v>21</v>
      </c>
      <c r="C26">
        <v>1</v>
      </c>
      <c r="D26" t="s">
        <v>206</v>
      </c>
      <c r="E26" t="s">
        <v>317</v>
      </c>
      <c r="F26">
        <v>1.5</v>
      </c>
      <c r="G26">
        <v>577</v>
      </c>
      <c r="H26">
        <v>865.5</v>
      </c>
      <c r="L26" t="s">
        <v>335</v>
      </c>
      <c r="M26">
        <f t="shared" si="0"/>
        <v>4</v>
      </c>
      <c r="N26" s="3">
        <f t="shared" si="1"/>
        <v>2291.4</v>
      </c>
    </row>
    <row r="27" spans="1:14" x14ac:dyDescent="0.25">
      <c r="A27" t="s">
        <v>8</v>
      </c>
      <c r="B27" t="s">
        <v>21</v>
      </c>
      <c r="C27">
        <v>1</v>
      </c>
      <c r="D27" t="s">
        <v>207</v>
      </c>
      <c r="E27" t="s">
        <v>318</v>
      </c>
      <c r="F27">
        <v>1.5</v>
      </c>
      <c r="G27">
        <v>907</v>
      </c>
      <c r="H27">
        <v>1360.5</v>
      </c>
      <c r="L27" t="s">
        <v>422</v>
      </c>
      <c r="M27">
        <f t="shared" si="0"/>
        <v>4</v>
      </c>
      <c r="N27" s="3">
        <f t="shared" si="1"/>
        <v>1959.7600000000002</v>
      </c>
    </row>
    <row r="28" spans="1:14" x14ac:dyDescent="0.25">
      <c r="A28" t="s">
        <v>8</v>
      </c>
      <c r="B28" t="s">
        <v>22</v>
      </c>
      <c r="C28">
        <v>1</v>
      </c>
      <c r="D28" t="s">
        <v>220</v>
      </c>
      <c r="E28" t="s">
        <v>331</v>
      </c>
      <c r="F28">
        <v>4.8000000000000001E-2</v>
      </c>
      <c r="G28">
        <v>19333.77</v>
      </c>
      <c r="H28">
        <v>928.02</v>
      </c>
      <c r="L28" t="s">
        <v>344</v>
      </c>
      <c r="M28">
        <f t="shared" si="0"/>
        <v>5</v>
      </c>
      <c r="N28" s="3">
        <f t="shared" si="1"/>
        <v>1899</v>
      </c>
    </row>
    <row r="29" spans="1:14" x14ac:dyDescent="0.25">
      <c r="A29" t="s">
        <v>8</v>
      </c>
      <c r="B29" t="s">
        <v>22</v>
      </c>
      <c r="C29">
        <v>1</v>
      </c>
      <c r="D29" t="s">
        <v>219</v>
      </c>
      <c r="E29" t="s">
        <v>330</v>
      </c>
      <c r="F29">
        <v>8.0000000000000002E-3</v>
      </c>
      <c r="G29">
        <v>10544</v>
      </c>
      <c r="H29">
        <v>84.35</v>
      </c>
      <c r="L29" t="s">
        <v>319</v>
      </c>
      <c r="M29">
        <f t="shared" si="0"/>
        <v>4</v>
      </c>
      <c r="N29" s="3">
        <f t="shared" si="1"/>
        <v>1844</v>
      </c>
    </row>
    <row r="30" spans="1:14" x14ac:dyDescent="0.25">
      <c r="A30" t="s">
        <v>8</v>
      </c>
      <c r="B30" t="s">
        <v>22</v>
      </c>
      <c r="C30">
        <v>1</v>
      </c>
      <c r="D30" t="s">
        <v>213</v>
      </c>
      <c r="E30" t="s">
        <v>324</v>
      </c>
      <c r="F30">
        <v>0.05</v>
      </c>
      <c r="G30">
        <v>13183.15</v>
      </c>
      <c r="H30">
        <v>659.16</v>
      </c>
      <c r="L30" t="s">
        <v>350</v>
      </c>
      <c r="M30">
        <f t="shared" si="0"/>
        <v>2</v>
      </c>
      <c r="N30" s="3">
        <f t="shared" si="1"/>
        <v>1487.67</v>
      </c>
    </row>
    <row r="31" spans="1:14" x14ac:dyDescent="0.25">
      <c r="A31" t="s">
        <v>8</v>
      </c>
      <c r="B31" t="s">
        <v>22</v>
      </c>
      <c r="C31">
        <v>1</v>
      </c>
      <c r="D31" t="s">
        <v>221</v>
      </c>
      <c r="E31" t="s">
        <v>332</v>
      </c>
      <c r="F31">
        <v>1.7999999999999999E-2</v>
      </c>
      <c r="G31">
        <v>4434</v>
      </c>
      <c r="H31">
        <v>79.81</v>
      </c>
      <c r="L31" t="s">
        <v>423</v>
      </c>
      <c r="M31">
        <f t="shared" si="0"/>
        <v>1</v>
      </c>
      <c r="N31" s="3">
        <f t="shared" si="1"/>
        <v>1403</v>
      </c>
    </row>
    <row r="32" spans="1:14" x14ac:dyDescent="0.25">
      <c r="A32" t="s">
        <v>8</v>
      </c>
      <c r="B32" t="s">
        <v>22</v>
      </c>
      <c r="C32">
        <v>1</v>
      </c>
      <c r="D32" t="s">
        <v>222</v>
      </c>
      <c r="E32" t="s">
        <v>333</v>
      </c>
      <c r="F32">
        <v>8.0000000000000002E-3</v>
      </c>
      <c r="G32">
        <v>8844</v>
      </c>
      <c r="H32">
        <v>70.75</v>
      </c>
      <c r="L32" t="s">
        <v>341</v>
      </c>
      <c r="M32">
        <f t="shared" si="0"/>
        <v>7</v>
      </c>
      <c r="N32" s="3">
        <f t="shared" si="1"/>
        <v>1205.0999999999999</v>
      </c>
    </row>
    <row r="33" spans="1:14" x14ac:dyDescent="0.25">
      <c r="A33" t="s">
        <v>8</v>
      </c>
      <c r="B33" t="s">
        <v>22</v>
      </c>
      <c r="C33">
        <v>1</v>
      </c>
      <c r="D33" t="s">
        <v>217</v>
      </c>
      <c r="E33" t="s">
        <v>328</v>
      </c>
      <c r="F33">
        <v>8.0000000000000002E-3</v>
      </c>
      <c r="G33">
        <v>5958</v>
      </c>
      <c r="H33">
        <v>47.66</v>
      </c>
      <c r="L33" t="s">
        <v>363</v>
      </c>
      <c r="M33">
        <f t="shared" si="0"/>
        <v>4</v>
      </c>
      <c r="N33" s="3">
        <f t="shared" si="1"/>
        <v>1146</v>
      </c>
    </row>
    <row r="34" spans="1:14" x14ac:dyDescent="0.25">
      <c r="A34" t="s">
        <v>8</v>
      </c>
      <c r="B34" t="s">
        <v>23</v>
      </c>
      <c r="C34">
        <v>1</v>
      </c>
      <c r="D34" t="s">
        <v>223</v>
      </c>
      <c r="E34" t="s">
        <v>334</v>
      </c>
      <c r="F34">
        <v>0.1</v>
      </c>
      <c r="G34">
        <v>1128</v>
      </c>
      <c r="H34">
        <v>112.8</v>
      </c>
      <c r="L34" t="s">
        <v>343</v>
      </c>
      <c r="M34">
        <f t="shared" ref="M34:M65" si="2">COUNTIF(E:E,L34)</f>
        <v>8</v>
      </c>
      <c r="N34" s="3">
        <f t="shared" ref="N34:N65" si="3">SUMIF(E:E,L34,H:H)</f>
        <v>1144.5</v>
      </c>
    </row>
    <row r="35" spans="1:14" x14ac:dyDescent="0.25">
      <c r="A35" t="s">
        <v>8</v>
      </c>
      <c r="B35" t="s">
        <v>24</v>
      </c>
      <c r="C35">
        <v>1</v>
      </c>
      <c r="D35" t="s">
        <v>205</v>
      </c>
      <c r="E35" t="s">
        <v>316</v>
      </c>
      <c r="F35">
        <v>6</v>
      </c>
      <c r="G35">
        <v>873</v>
      </c>
      <c r="H35">
        <v>5238</v>
      </c>
      <c r="L35" t="s">
        <v>355</v>
      </c>
      <c r="M35">
        <f t="shared" si="2"/>
        <v>1</v>
      </c>
      <c r="N35" s="3">
        <f t="shared" si="3"/>
        <v>1140.02</v>
      </c>
    </row>
    <row r="36" spans="1:14" x14ac:dyDescent="0.25">
      <c r="A36" t="s">
        <v>8</v>
      </c>
      <c r="B36" t="s">
        <v>24</v>
      </c>
      <c r="C36">
        <v>1</v>
      </c>
      <c r="D36" t="s">
        <v>206</v>
      </c>
      <c r="E36" t="s">
        <v>317</v>
      </c>
      <c r="F36">
        <v>3.5</v>
      </c>
      <c r="G36">
        <v>567</v>
      </c>
      <c r="H36">
        <v>1984.5</v>
      </c>
      <c r="L36" t="s">
        <v>323</v>
      </c>
      <c r="M36">
        <f t="shared" si="2"/>
        <v>2</v>
      </c>
      <c r="N36" s="3">
        <f t="shared" si="3"/>
        <v>1099.8899999999999</v>
      </c>
    </row>
    <row r="37" spans="1:14" x14ac:dyDescent="0.25">
      <c r="A37" t="s">
        <v>8</v>
      </c>
      <c r="B37" t="s">
        <v>24</v>
      </c>
      <c r="C37">
        <v>1</v>
      </c>
      <c r="D37" t="s">
        <v>207</v>
      </c>
      <c r="E37" t="s">
        <v>318</v>
      </c>
      <c r="F37">
        <v>2</v>
      </c>
      <c r="G37">
        <v>893</v>
      </c>
      <c r="H37">
        <v>1786</v>
      </c>
      <c r="L37" t="s">
        <v>327</v>
      </c>
      <c r="M37">
        <f t="shared" si="2"/>
        <v>4</v>
      </c>
      <c r="N37" s="3">
        <f t="shared" si="3"/>
        <v>955.5</v>
      </c>
    </row>
    <row r="38" spans="1:14" x14ac:dyDescent="0.25">
      <c r="A38" t="s">
        <v>8</v>
      </c>
      <c r="B38" t="s">
        <v>24</v>
      </c>
      <c r="C38">
        <v>1</v>
      </c>
      <c r="D38" t="s">
        <v>224</v>
      </c>
      <c r="E38" t="s">
        <v>335</v>
      </c>
      <c r="F38">
        <v>0.1</v>
      </c>
      <c r="G38">
        <v>3800</v>
      </c>
      <c r="H38">
        <v>380</v>
      </c>
      <c r="L38" t="s">
        <v>331</v>
      </c>
      <c r="M38">
        <f t="shared" si="2"/>
        <v>1</v>
      </c>
      <c r="N38" s="3">
        <f t="shared" si="3"/>
        <v>928.02</v>
      </c>
    </row>
    <row r="39" spans="1:14" x14ac:dyDescent="0.25">
      <c r="A39" t="s">
        <v>8</v>
      </c>
      <c r="B39" t="s">
        <v>25</v>
      </c>
      <c r="C39">
        <v>1</v>
      </c>
      <c r="D39" t="s">
        <v>207</v>
      </c>
      <c r="E39" t="s">
        <v>318</v>
      </c>
      <c r="F39">
        <v>0.5</v>
      </c>
      <c r="G39">
        <v>893</v>
      </c>
      <c r="H39">
        <v>446.5</v>
      </c>
      <c r="L39" t="s">
        <v>340</v>
      </c>
      <c r="M39">
        <f t="shared" si="2"/>
        <v>7</v>
      </c>
      <c r="N39" s="3">
        <f t="shared" si="3"/>
        <v>894.1</v>
      </c>
    </row>
    <row r="40" spans="1:14" x14ac:dyDescent="0.25">
      <c r="A40" t="s">
        <v>8</v>
      </c>
      <c r="B40" t="s">
        <v>25</v>
      </c>
      <c r="C40">
        <v>1</v>
      </c>
      <c r="D40" t="s">
        <v>206</v>
      </c>
      <c r="E40" t="s">
        <v>317</v>
      </c>
      <c r="F40">
        <v>0.5</v>
      </c>
      <c r="G40">
        <v>567</v>
      </c>
      <c r="H40">
        <v>283.5</v>
      </c>
      <c r="L40" t="s">
        <v>386</v>
      </c>
      <c r="M40">
        <f t="shared" si="2"/>
        <v>1</v>
      </c>
      <c r="N40" s="3">
        <f t="shared" si="3"/>
        <v>842.96</v>
      </c>
    </row>
    <row r="41" spans="1:14" x14ac:dyDescent="0.25">
      <c r="A41" t="s">
        <v>8</v>
      </c>
      <c r="B41" t="s">
        <v>26</v>
      </c>
      <c r="C41">
        <v>1</v>
      </c>
      <c r="D41" t="s">
        <v>205</v>
      </c>
      <c r="E41" t="s">
        <v>316</v>
      </c>
      <c r="F41">
        <v>1</v>
      </c>
      <c r="G41">
        <v>873</v>
      </c>
      <c r="H41">
        <v>873</v>
      </c>
      <c r="L41" t="s">
        <v>348</v>
      </c>
      <c r="M41">
        <f t="shared" si="2"/>
        <v>4</v>
      </c>
      <c r="N41" s="3">
        <f t="shared" si="3"/>
        <v>835.15</v>
      </c>
    </row>
    <row r="42" spans="1:14" x14ac:dyDescent="0.25">
      <c r="A42" t="s">
        <v>8</v>
      </c>
      <c r="B42" t="s">
        <v>26</v>
      </c>
      <c r="C42">
        <v>1</v>
      </c>
      <c r="D42" t="s">
        <v>206</v>
      </c>
      <c r="E42" t="s">
        <v>317</v>
      </c>
      <c r="F42">
        <v>0.5</v>
      </c>
      <c r="G42">
        <v>567</v>
      </c>
      <c r="H42">
        <v>283.5</v>
      </c>
      <c r="L42" t="s">
        <v>354</v>
      </c>
      <c r="M42">
        <f t="shared" si="2"/>
        <v>1</v>
      </c>
      <c r="N42" s="3">
        <f t="shared" si="3"/>
        <v>820</v>
      </c>
    </row>
    <row r="43" spans="1:14" x14ac:dyDescent="0.25">
      <c r="A43" t="s">
        <v>8</v>
      </c>
      <c r="B43" t="s">
        <v>27</v>
      </c>
      <c r="C43">
        <v>1</v>
      </c>
      <c r="D43" t="s">
        <v>225</v>
      </c>
      <c r="E43" t="s">
        <v>336</v>
      </c>
      <c r="F43">
        <v>0.25</v>
      </c>
      <c r="G43">
        <v>1753</v>
      </c>
      <c r="H43">
        <v>438.25</v>
      </c>
      <c r="L43" t="s">
        <v>425</v>
      </c>
      <c r="M43">
        <f t="shared" si="2"/>
        <v>2</v>
      </c>
      <c r="N43" s="3">
        <f t="shared" si="3"/>
        <v>802.56</v>
      </c>
    </row>
    <row r="44" spans="1:14" x14ac:dyDescent="0.25">
      <c r="A44" t="s">
        <v>8</v>
      </c>
      <c r="B44" t="s">
        <v>27</v>
      </c>
      <c r="C44">
        <v>1</v>
      </c>
      <c r="D44" t="s">
        <v>226</v>
      </c>
      <c r="E44" t="s">
        <v>337</v>
      </c>
      <c r="F44">
        <v>0.3</v>
      </c>
      <c r="G44">
        <v>2574</v>
      </c>
      <c r="H44">
        <v>772.2</v>
      </c>
      <c r="L44" t="s">
        <v>337</v>
      </c>
      <c r="M44">
        <f t="shared" si="2"/>
        <v>1</v>
      </c>
      <c r="N44" s="3">
        <f t="shared" si="3"/>
        <v>772.2</v>
      </c>
    </row>
    <row r="45" spans="1:14" x14ac:dyDescent="0.25">
      <c r="A45" t="s">
        <v>8</v>
      </c>
      <c r="B45" t="s">
        <v>27</v>
      </c>
      <c r="C45">
        <v>1</v>
      </c>
      <c r="D45" t="s">
        <v>205</v>
      </c>
      <c r="E45" t="s">
        <v>316</v>
      </c>
      <c r="F45">
        <v>0.5</v>
      </c>
      <c r="G45">
        <v>873</v>
      </c>
      <c r="H45">
        <v>436.5</v>
      </c>
      <c r="L45" t="s">
        <v>339</v>
      </c>
      <c r="M45">
        <f t="shared" si="2"/>
        <v>3</v>
      </c>
      <c r="N45" s="3">
        <f t="shared" si="3"/>
        <v>714.4</v>
      </c>
    </row>
    <row r="46" spans="1:14" x14ac:dyDescent="0.25">
      <c r="A46" t="s">
        <v>8</v>
      </c>
      <c r="B46" t="s">
        <v>28</v>
      </c>
      <c r="C46">
        <v>1</v>
      </c>
      <c r="D46" t="s">
        <v>207</v>
      </c>
      <c r="E46" t="s">
        <v>318</v>
      </c>
      <c r="F46">
        <v>1</v>
      </c>
      <c r="G46">
        <v>893</v>
      </c>
      <c r="H46">
        <v>893</v>
      </c>
      <c r="L46" t="s">
        <v>420</v>
      </c>
      <c r="M46">
        <f t="shared" si="2"/>
        <v>1</v>
      </c>
      <c r="N46" s="3">
        <f t="shared" si="3"/>
        <v>687.5</v>
      </c>
    </row>
    <row r="47" spans="1:14" x14ac:dyDescent="0.25">
      <c r="A47" t="s">
        <v>8</v>
      </c>
      <c r="B47" t="s">
        <v>28</v>
      </c>
      <c r="C47">
        <v>1</v>
      </c>
      <c r="D47" t="s">
        <v>227</v>
      </c>
      <c r="E47" t="s">
        <v>338</v>
      </c>
      <c r="F47">
        <v>0.5</v>
      </c>
      <c r="G47">
        <v>1411</v>
      </c>
      <c r="H47">
        <v>705.5</v>
      </c>
      <c r="L47" t="s">
        <v>415</v>
      </c>
      <c r="M47">
        <f t="shared" si="2"/>
        <v>1</v>
      </c>
      <c r="N47" s="3">
        <f t="shared" si="3"/>
        <v>686.4</v>
      </c>
    </row>
    <row r="48" spans="1:14" x14ac:dyDescent="0.25">
      <c r="A48" t="s">
        <v>8</v>
      </c>
      <c r="B48" t="s">
        <v>28</v>
      </c>
      <c r="C48">
        <v>1</v>
      </c>
      <c r="D48" t="s">
        <v>206</v>
      </c>
      <c r="E48" t="s">
        <v>317</v>
      </c>
      <c r="F48">
        <v>1.5</v>
      </c>
      <c r="G48">
        <v>567</v>
      </c>
      <c r="H48">
        <v>850.5</v>
      </c>
      <c r="L48" t="s">
        <v>352</v>
      </c>
      <c r="M48">
        <f t="shared" si="2"/>
        <v>1</v>
      </c>
      <c r="N48" s="3">
        <f t="shared" si="3"/>
        <v>666</v>
      </c>
    </row>
    <row r="49" spans="1:14" x14ac:dyDescent="0.25">
      <c r="A49" t="s">
        <v>8</v>
      </c>
      <c r="B49" t="s">
        <v>29</v>
      </c>
      <c r="C49">
        <v>1</v>
      </c>
      <c r="D49" t="s">
        <v>205</v>
      </c>
      <c r="E49" t="s">
        <v>316</v>
      </c>
      <c r="F49">
        <v>1</v>
      </c>
      <c r="G49">
        <v>873</v>
      </c>
      <c r="H49">
        <v>873</v>
      </c>
      <c r="L49" t="s">
        <v>353</v>
      </c>
      <c r="M49">
        <f t="shared" si="2"/>
        <v>1</v>
      </c>
      <c r="N49" s="3">
        <f t="shared" si="3"/>
        <v>666</v>
      </c>
    </row>
    <row r="50" spans="1:14" x14ac:dyDescent="0.25">
      <c r="A50" t="s">
        <v>8</v>
      </c>
      <c r="B50" t="s">
        <v>29</v>
      </c>
      <c r="C50">
        <v>1</v>
      </c>
      <c r="D50" t="s">
        <v>206</v>
      </c>
      <c r="E50" t="s">
        <v>317</v>
      </c>
      <c r="F50">
        <v>1</v>
      </c>
      <c r="G50">
        <v>567</v>
      </c>
      <c r="H50">
        <v>567</v>
      </c>
      <c r="L50" t="s">
        <v>362</v>
      </c>
      <c r="M50">
        <f t="shared" si="2"/>
        <v>1</v>
      </c>
      <c r="N50" s="3">
        <f t="shared" si="3"/>
        <v>666</v>
      </c>
    </row>
    <row r="51" spans="1:14" x14ac:dyDescent="0.25">
      <c r="A51" t="s">
        <v>8</v>
      </c>
      <c r="B51" t="s">
        <v>29</v>
      </c>
      <c r="C51">
        <v>1</v>
      </c>
      <c r="D51" t="s">
        <v>207</v>
      </c>
      <c r="E51" t="s">
        <v>318</v>
      </c>
      <c r="F51">
        <v>1</v>
      </c>
      <c r="G51">
        <v>893</v>
      </c>
      <c r="H51">
        <v>893</v>
      </c>
      <c r="L51" t="s">
        <v>414</v>
      </c>
      <c r="M51">
        <f t="shared" si="2"/>
        <v>1</v>
      </c>
      <c r="N51" s="3">
        <f t="shared" si="3"/>
        <v>661.76</v>
      </c>
    </row>
    <row r="52" spans="1:14" x14ac:dyDescent="0.25">
      <c r="A52" t="s">
        <v>8</v>
      </c>
      <c r="B52" t="s">
        <v>30</v>
      </c>
      <c r="C52">
        <v>1</v>
      </c>
      <c r="D52" t="s">
        <v>205</v>
      </c>
      <c r="E52" t="s">
        <v>316</v>
      </c>
      <c r="F52">
        <v>5</v>
      </c>
      <c r="G52">
        <v>873</v>
      </c>
      <c r="H52">
        <v>4365</v>
      </c>
      <c r="L52" t="s">
        <v>396</v>
      </c>
      <c r="M52">
        <f t="shared" si="2"/>
        <v>2</v>
      </c>
      <c r="N52" s="3">
        <f t="shared" si="3"/>
        <v>654.47</v>
      </c>
    </row>
    <row r="53" spans="1:14" x14ac:dyDescent="0.25">
      <c r="A53" t="s">
        <v>8</v>
      </c>
      <c r="B53" t="s">
        <v>30</v>
      </c>
      <c r="C53">
        <v>1</v>
      </c>
      <c r="D53" t="s">
        <v>207</v>
      </c>
      <c r="E53" t="s">
        <v>318</v>
      </c>
      <c r="F53">
        <v>1</v>
      </c>
      <c r="G53">
        <v>893</v>
      </c>
      <c r="H53">
        <v>893</v>
      </c>
      <c r="L53" t="s">
        <v>388</v>
      </c>
      <c r="M53">
        <f t="shared" si="2"/>
        <v>1</v>
      </c>
      <c r="N53" s="3">
        <f t="shared" si="3"/>
        <v>597.35</v>
      </c>
    </row>
    <row r="54" spans="1:14" x14ac:dyDescent="0.25">
      <c r="A54" t="s">
        <v>8</v>
      </c>
      <c r="B54" t="s">
        <v>31</v>
      </c>
      <c r="C54">
        <v>1</v>
      </c>
      <c r="D54" t="s">
        <v>205</v>
      </c>
      <c r="E54" t="s">
        <v>316</v>
      </c>
      <c r="F54">
        <v>0.5</v>
      </c>
      <c r="G54">
        <v>873</v>
      </c>
      <c r="H54">
        <v>436.5</v>
      </c>
      <c r="L54" t="s">
        <v>332</v>
      </c>
      <c r="M54">
        <f t="shared" si="2"/>
        <v>2</v>
      </c>
      <c r="N54" s="3">
        <f t="shared" si="3"/>
        <v>590.78</v>
      </c>
    </row>
    <row r="55" spans="1:14" x14ac:dyDescent="0.25">
      <c r="A55" t="s">
        <v>8</v>
      </c>
      <c r="B55" t="s">
        <v>32</v>
      </c>
      <c r="C55">
        <v>1</v>
      </c>
      <c r="D55" t="s">
        <v>206</v>
      </c>
      <c r="E55" t="s">
        <v>317</v>
      </c>
      <c r="F55">
        <v>0.5</v>
      </c>
      <c r="G55">
        <v>567</v>
      </c>
      <c r="H55">
        <v>283.5</v>
      </c>
      <c r="L55" t="s">
        <v>387</v>
      </c>
      <c r="M55">
        <f t="shared" si="2"/>
        <v>1</v>
      </c>
      <c r="N55" s="3">
        <f t="shared" si="3"/>
        <v>590.4</v>
      </c>
    </row>
    <row r="56" spans="1:14" x14ac:dyDescent="0.25">
      <c r="A56" t="s">
        <v>8</v>
      </c>
      <c r="B56" t="s">
        <v>32</v>
      </c>
      <c r="C56">
        <v>1</v>
      </c>
      <c r="D56" t="s">
        <v>205</v>
      </c>
      <c r="E56" t="s">
        <v>316</v>
      </c>
      <c r="F56">
        <v>0.5</v>
      </c>
      <c r="G56">
        <v>873</v>
      </c>
      <c r="H56">
        <v>436.5</v>
      </c>
      <c r="L56" t="s">
        <v>412</v>
      </c>
      <c r="M56">
        <f t="shared" si="2"/>
        <v>1</v>
      </c>
      <c r="N56" s="3">
        <f t="shared" si="3"/>
        <v>574.95000000000005</v>
      </c>
    </row>
    <row r="57" spans="1:14" x14ac:dyDescent="0.25">
      <c r="A57" t="s">
        <v>8</v>
      </c>
      <c r="B57" t="s">
        <v>32</v>
      </c>
      <c r="C57">
        <v>1</v>
      </c>
      <c r="D57" t="s">
        <v>207</v>
      </c>
      <c r="E57" t="s">
        <v>318</v>
      </c>
      <c r="F57">
        <v>1</v>
      </c>
      <c r="G57">
        <v>893</v>
      </c>
      <c r="H57">
        <v>893</v>
      </c>
      <c r="L57" t="s">
        <v>397</v>
      </c>
      <c r="M57">
        <f t="shared" si="2"/>
        <v>1</v>
      </c>
      <c r="N57" s="3">
        <f t="shared" si="3"/>
        <v>570.5</v>
      </c>
    </row>
    <row r="58" spans="1:14" x14ac:dyDescent="0.25">
      <c r="A58" t="s">
        <v>8</v>
      </c>
      <c r="B58" t="s">
        <v>33</v>
      </c>
      <c r="C58">
        <v>1</v>
      </c>
      <c r="D58" t="s">
        <v>205</v>
      </c>
      <c r="E58" t="s">
        <v>316</v>
      </c>
      <c r="F58">
        <v>5</v>
      </c>
      <c r="G58">
        <v>873</v>
      </c>
      <c r="H58">
        <v>4365</v>
      </c>
      <c r="L58" t="s">
        <v>421</v>
      </c>
      <c r="M58">
        <f t="shared" si="2"/>
        <v>1</v>
      </c>
      <c r="N58" s="3">
        <f t="shared" si="3"/>
        <v>552.20000000000005</v>
      </c>
    </row>
    <row r="59" spans="1:14" x14ac:dyDescent="0.25">
      <c r="A59" t="s">
        <v>8</v>
      </c>
      <c r="B59" t="s">
        <v>33</v>
      </c>
      <c r="C59">
        <v>1</v>
      </c>
      <c r="D59" t="s">
        <v>207</v>
      </c>
      <c r="E59" t="s">
        <v>318</v>
      </c>
      <c r="F59">
        <v>1</v>
      </c>
      <c r="G59">
        <v>893</v>
      </c>
      <c r="H59">
        <v>893</v>
      </c>
      <c r="L59" t="s">
        <v>359</v>
      </c>
      <c r="M59">
        <f t="shared" si="2"/>
        <v>1</v>
      </c>
      <c r="N59" s="3">
        <f t="shared" si="3"/>
        <v>549.20000000000005</v>
      </c>
    </row>
    <row r="60" spans="1:14" x14ac:dyDescent="0.25">
      <c r="A60" t="s">
        <v>8</v>
      </c>
      <c r="B60" t="s">
        <v>34</v>
      </c>
      <c r="C60">
        <v>1</v>
      </c>
      <c r="D60" t="s">
        <v>205</v>
      </c>
      <c r="E60" t="s">
        <v>316</v>
      </c>
      <c r="F60">
        <v>0.5</v>
      </c>
      <c r="G60">
        <v>873</v>
      </c>
      <c r="H60">
        <v>436.5</v>
      </c>
      <c r="L60" t="s">
        <v>418</v>
      </c>
      <c r="M60">
        <f t="shared" si="2"/>
        <v>2</v>
      </c>
      <c r="N60" s="3">
        <f t="shared" si="3"/>
        <v>543</v>
      </c>
    </row>
    <row r="61" spans="1:14" x14ac:dyDescent="0.25">
      <c r="A61" t="s">
        <v>8</v>
      </c>
      <c r="B61" t="s">
        <v>34</v>
      </c>
      <c r="C61">
        <v>1</v>
      </c>
      <c r="D61" t="s">
        <v>206</v>
      </c>
      <c r="E61" t="s">
        <v>317</v>
      </c>
      <c r="F61">
        <v>0.5</v>
      </c>
      <c r="G61">
        <v>567</v>
      </c>
      <c r="H61">
        <v>283.5</v>
      </c>
      <c r="L61" t="s">
        <v>345</v>
      </c>
      <c r="M61">
        <f t="shared" si="2"/>
        <v>2</v>
      </c>
      <c r="N61" s="3">
        <f t="shared" si="3"/>
        <v>511</v>
      </c>
    </row>
    <row r="62" spans="1:14" x14ac:dyDescent="0.25">
      <c r="A62" t="s">
        <v>8</v>
      </c>
      <c r="B62" t="s">
        <v>34</v>
      </c>
      <c r="C62">
        <v>1</v>
      </c>
      <c r="D62" t="s">
        <v>207</v>
      </c>
      <c r="E62" t="s">
        <v>318</v>
      </c>
      <c r="F62">
        <v>0.5</v>
      </c>
      <c r="G62">
        <v>893</v>
      </c>
      <c r="H62">
        <v>446.5</v>
      </c>
      <c r="L62" t="s">
        <v>325</v>
      </c>
      <c r="M62">
        <f t="shared" si="2"/>
        <v>1</v>
      </c>
      <c r="N62" s="3">
        <f t="shared" si="3"/>
        <v>494.7</v>
      </c>
    </row>
    <row r="63" spans="1:14" x14ac:dyDescent="0.25">
      <c r="A63" t="s">
        <v>8</v>
      </c>
      <c r="B63" t="s">
        <v>35</v>
      </c>
      <c r="C63">
        <v>1</v>
      </c>
      <c r="D63" t="s">
        <v>206</v>
      </c>
      <c r="E63" t="s">
        <v>317</v>
      </c>
      <c r="F63">
        <v>0.5</v>
      </c>
      <c r="G63">
        <v>567</v>
      </c>
      <c r="H63">
        <v>283.5</v>
      </c>
      <c r="L63" t="s">
        <v>322</v>
      </c>
      <c r="M63">
        <f t="shared" si="2"/>
        <v>2</v>
      </c>
      <c r="N63" s="3">
        <f t="shared" si="3"/>
        <v>491.28</v>
      </c>
    </row>
    <row r="64" spans="1:14" x14ac:dyDescent="0.25">
      <c r="A64" t="s">
        <v>8</v>
      </c>
      <c r="B64" t="s">
        <v>35</v>
      </c>
      <c r="C64">
        <v>1</v>
      </c>
      <c r="D64" t="s">
        <v>205</v>
      </c>
      <c r="E64" t="s">
        <v>316</v>
      </c>
      <c r="F64">
        <v>0.5</v>
      </c>
      <c r="G64">
        <v>873</v>
      </c>
      <c r="H64">
        <v>436.5</v>
      </c>
      <c r="L64" t="s">
        <v>419</v>
      </c>
      <c r="M64">
        <f t="shared" si="2"/>
        <v>1</v>
      </c>
      <c r="N64" s="3">
        <f t="shared" si="3"/>
        <v>474</v>
      </c>
    </row>
    <row r="65" spans="1:14" x14ac:dyDescent="0.25">
      <c r="A65" t="s">
        <v>8</v>
      </c>
      <c r="B65" t="s">
        <v>36</v>
      </c>
      <c r="C65">
        <v>1</v>
      </c>
      <c r="D65" t="s">
        <v>228</v>
      </c>
      <c r="E65" t="s">
        <v>339</v>
      </c>
      <c r="F65">
        <v>0.3</v>
      </c>
      <c r="G65">
        <v>893</v>
      </c>
      <c r="H65">
        <v>267.89999999999998</v>
      </c>
      <c r="L65" t="s">
        <v>360</v>
      </c>
      <c r="M65">
        <f t="shared" si="2"/>
        <v>1</v>
      </c>
      <c r="N65" s="3">
        <f t="shared" si="3"/>
        <v>470</v>
      </c>
    </row>
    <row r="66" spans="1:14" x14ac:dyDescent="0.25">
      <c r="A66" t="s">
        <v>8</v>
      </c>
      <c r="B66" t="s">
        <v>36</v>
      </c>
      <c r="C66">
        <v>1</v>
      </c>
      <c r="D66" t="s">
        <v>229</v>
      </c>
      <c r="E66" t="s">
        <v>340</v>
      </c>
      <c r="F66">
        <v>0.2</v>
      </c>
      <c r="G66">
        <v>567</v>
      </c>
      <c r="H66">
        <v>113.4</v>
      </c>
      <c r="L66" t="s">
        <v>336</v>
      </c>
      <c r="M66">
        <f t="shared" ref="M66:M97" si="4">COUNTIF(E:E,L66)</f>
        <v>1</v>
      </c>
      <c r="N66" s="3">
        <f t="shared" ref="N66:N97" si="5">SUMIF(E:E,L66,H:H)</f>
        <v>438.25</v>
      </c>
    </row>
    <row r="67" spans="1:14" x14ac:dyDescent="0.25">
      <c r="A67" t="s">
        <v>8</v>
      </c>
      <c r="B67" t="s">
        <v>36</v>
      </c>
      <c r="C67">
        <v>1</v>
      </c>
      <c r="D67" t="s">
        <v>230</v>
      </c>
      <c r="E67" t="s">
        <v>341</v>
      </c>
      <c r="F67">
        <v>0.2</v>
      </c>
      <c r="G67">
        <v>873</v>
      </c>
      <c r="H67">
        <v>174.6</v>
      </c>
      <c r="L67" t="s">
        <v>406</v>
      </c>
      <c r="M67">
        <f t="shared" si="4"/>
        <v>1</v>
      </c>
      <c r="N67" s="3">
        <f t="shared" si="5"/>
        <v>428.47</v>
      </c>
    </row>
    <row r="68" spans="1:14" x14ac:dyDescent="0.25">
      <c r="A68" t="s">
        <v>8</v>
      </c>
      <c r="B68" t="s">
        <v>36</v>
      </c>
      <c r="C68">
        <v>1</v>
      </c>
      <c r="D68" t="s">
        <v>231</v>
      </c>
      <c r="E68" t="s">
        <v>342</v>
      </c>
      <c r="F68">
        <v>0.15</v>
      </c>
      <c r="G68">
        <v>1544</v>
      </c>
      <c r="H68">
        <v>231.6</v>
      </c>
      <c r="L68" t="s">
        <v>408</v>
      </c>
      <c r="M68">
        <f t="shared" si="4"/>
        <v>1</v>
      </c>
      <c r="N68" s="3">
        <f t="shared" si="5"/>
        <v>357.7</v>
      </c>
    </row>
    <row r="69" spans="1:14" x14ac:dyDescent="0.25">
      <c r="A69" t="s">
        <v>8</v>
      </c>
      <c r="B69" t="s">
        <v>37</v>
      </c>
      <c r="C69">
        <v>1</v>
      </c>
      <c r="D69" t="s">
        <v>206</v>
      </c>
      <c r="E69" t="s">
        <v>317</v>
      </c>
      <c r="F69">
        <v>1</v>
      </c>
      <c r="G69">
        <v>567</v>
      </c>
      <c r="H69">
        <v>567</v>
      </c>
      <c r="L69" t="s">
        <v>416</v>
      </c>
      <c r="M69">
        <f t="shared" si="4"/>
        <v>1</v>
      </c>
      <c r="N69" s="3">
        <f t="shared" si="5"/>
        <v>347</v>
      </c>
    </row>
    <row r="70" spans="1:14" x14ac:dyDescent="0.25">
      <c r="A70" t="s">
        <v>8</v>
      </c>
      <c r="B70" t="s">
        <v>38</v>
      </c>
      <c r="C70">
        <v>1</v>
      </c>
      <c r="D70" t="s">
        <v>205</v>
      </c>
      <c r="E70" t="s">
        <v>316</v>
      </c>
      <c r="F70">
        <v>1.5</v>
      </c>
      <c r="G70">
        <v>873</v>
      </c>
      <c r="H70">
        <v>1309.5</v>
      </c>
      <c r="L70" t="s">
        <v>365</v>
      </c>
      <c r="M70">
        <f t="shared" si="4"/>
        <v>1</v>
      </c>
      <c r="N70" s="3">
        <f t="shared" si="5"/>
        <v>312.95999999999998</v>
      </c>
    </row>
    <row r="71" spans="1:14" x14ac:dyDescent="0.25">
      <c r="A71" t="s">
        <v>8</v>
      </c>
      <c r="B71" t="s">
        <v>38</v>
      </c>
      <c r="C71">
        <v>1</v>
      </c>
      <c r="D71" t="s">
        <v>206</v>
      </c>
      <c r="E71" t="s">
        <v>317</v>
      </c>
      <c r="F71">
        <v>1</v>
      </c>
      <c r="G71">
        <v>567</v>
      </c>
      <c r="H71">
        <v>567</v>
      </c>
      <c r="L71" t="s">
        <v>405</v>
      </c>
      <c r="M71">
        <f t="shared" si="4"/>
        <v>2</v>
      </c>
      <c r="N71" s="3">
        <f t="shared" si="5"/>
        <v>305.45</v>
      </c>
    </row>
    <row r="72" spans="1:14" x14ac:dyDescent="0.25">
      <c r="A72" t="s">
        <v>8</v>
      </c>
      <c r="B72" t="s">
        <v>38</v>
      </c>
      <c r="C72">
        <v>1</v>
      </c>
      <c r="D72" t="s">
        <v>232</v>
      </c>
      <c r="E72" t="s">
        <v>343</v>
      </c>
      <c r="F72">
        <v>1</v>
      </c>
      <c r="G72">
        <v>189</v>
      </c>
      <c r="H72">
        <v>189</v>
      </c>
      <c r="L72" t="s">
        <v>402</v>
      </c>
      <c r="M72">
        <f t="shared" si="4"/>
        <v>2</v>
      </c>
      <c r="N72" s="3">
        <f t="shared" si="5"/>
        <v>282.89999999999998</v>
      </c>
    </row>
    <row r="73" spans="1:14" x14ac:dyDescent="0.25">
      <c r="A73" t="s">
        <v>8</v>
      </c>
      <c r="B73" t="s">
        <v>38</v>
      </c>
      <c r="C73">
        <v>1</v>
      </c>
      <c r="D73" t="s">
        <v>233</v>
      </c>
      <c r="E73" t="s">
        <v>344</v>
      </c>
      <c r="F73">
        <v>0.5</v>
      </c>
      <c r="G73">
        <v>481</v>
      </c>
      <c r="H73">
        <v>240.5</v>
      </c>
      <c r="L73" t="s">
        <v>383</v>
      </c>
      <c r="M73">
        <f t="shared" si="4"/>
        <v>1</v>
      </c>
      <c r="N73" s="3">
        <f t="shared" si="5"/>
        <v>281</v>
      </c>
    </row>
    <row r="74" spans="1:14" x14ac:dyDescent="0.25">
      <c r="A74" t="s">
        <v>8</v>
      </c>
      <c r="B74" t="s">
        <v>38</v>
      </c>
      <c r="C74">
        <v>1</v>
      </c>
      <c r="D74" t="s">
        <v>234</v>
      </c>
      <c r="E74" t="s">
        <v>345</v>
      </c>
      <c r="F74">
        <v>0.5</v>
      </c>
      <c r="G74">
        <v>730</v>
      </c>
      <c r="H74">
        <v>365</v>
      </c>
      <c r="L74" t="s">
        <v>342</v>
      </c>
      <c r="M74">
        <f t="shared" si="4"/>
        <v>1</v>
      </c>
      <c r="N74" s="3">
        <f t="shared" si="5"/>
        <v>231.6</v>
      </c>
    </row>
    <row r="75" spans="1:14" x14ac:dyDescent="0.25">
      <c r="A75" t="s">
        <v>8</v>
      </c>
      <c r="B75" t="s">
        <v>39</v>
      </c>
      <c r="C75">
        <v>1</v>
      </c>
      <c r="D75" t="s">
        <v>235</v>
      </c>
      <c r="E75" t="s">
        <v>346</v>
      </c>
      <c r="F75">
        <v>0.17</v>
      </c>
      <c r="G75">
        <v>7500</v>
      </c>
      <c r="H75">
        <v>1275</v>
      </c>
      <c r="L75" t="s">
        <v>407</v>
      </c>
      <c r="M75">
        <f t="shared" si="4"/>
        <v>1</v>
      </c>
      <c r="N75" s="3">
        <f t="shared" si="5"/>
        <v>227.59</v>
      </c>
    </row>
    <row r="76" spans="1:14" x14ac:dyDescent="0.25">
      <c r="A76" t="s">
        <v>8</v>
      </c>
      <c r="B76" t="s">
        <v>40</v>
      </c>
      <c r="C76">
        <v>1</v>
      </c>
      <c r="D76" t="s">
        <v>236</v>
      </c>
      <c r="E76" t="s">
        <v>347</v>
      </c>
      <c r="F76">
        <v>0.1</v>
      </c>
      <c r="G76">
        <v>20672</v>
      </c>
      <c r="H76">
        <v>2067.1999999999998</v>
      </c>
      <c r="L76" t="s">
        <v>390</v>
      </c>
      <c r="M76">
        <f t="shared" si="4"/>
        <v>1</v>
      </c>
      <c r="N76" s="3">
        <f t="shared" si="5"/>
        <v>209</v>
      </c>
    </row>
    <row r="77" spans="1:14" x14ac:dyDescent="0.25">
      <c r="A77" t="s">
        <v>8</v>
      </c>
      <c r="B77" t="s">
        <v>41</v>
      </c>
      <c r="C77">
        <v>1</v>
      </c>
      <c r="D77" t="s">
        <v>237</v>
      </c>
      <c r="E77" t="s">
        <v>348</v>
      </c>
      <c r="F77">
        <v>0.25</v>
      </c>
      <c r="G77">
        <v>893</v>
      </c>
      <c r="H77">
        <v>223.25</v>
      </c>
      <c r="L77" t="s">
        <v>356</v>
      </c>
      <c r="M77">
        <f t="shared" si="4"/>
        <v>1</v>
      </c>
      <c r="N77" s="3">
        <f t="shared" si="5"/>
        <v>179.2</v>
      </c>
    </row>
    <row r="78" spans="1:14" x14ac:dyDescent="0.25">
      <c r="A78" t="s">
        <v>8</v>
      </c>
      <c r="B78" t="s">
        <v>41</v>
      </c>
      <c r="C78">
        <v>1</v>
      </c>
      <c r="D78" t="s">
        <v>238</v>
      </c>
      <c r="E78" t="s">
        <v>349</v>
      </c>
      <c r="F78">
        <v>5.0000000000000001E-3</v>
      </c>
      <c r="G78">
        <v>4453</v>
      </c>
      <c r="H78">
        <v>22.27</v>
      </c>
      <c r="L78" t="s">
        <v>411</v>
      </c>
      <c r="M78">
        <f t="shared" si="4"/>
        <v>1</v>
      </c>
      <c r="N78" s="3">
        <f t="shared" si="5"/>
        <v>144.30000000000001</v>
      </c>
    </row>
    <row r="79" spans="1:14" x14ac:dyDescent="0.25">
      <c r="A79" t="s">
        <v>8</v>
      </c>
      <c r="B79" t="s">
        <v>41</v>
      </c>
      <c r="C79">
        <v>1</v>
      </c>
      <c r="D79" t="s">
        <v>239</v>
      </c>
      <c r="E79" t="s">
        <v>350</v>
      </c>
      <c r="F79">
        <v>0.09</v>
      </c>
      <c r="G79">
        <v>14866</v>
      </c>
      <c r="H79">
        <v>1337.94</v>
      </c>
      <c r="L79" t="s">
        <v>424</v>
      </c>
      <c r="M79">
        <f t="shared" si="4"/>
        <v>1</v>
      </c>
      <c r="N79" s="3">
        <f t="shared" si="5"/>
        <v>143.26</v>
      </c>
    </row>
    <row r="80" spans="1:14" x14ac:dyDescent="0.25">
      <c r="A80" t="s">
        <v>8</v>
      </c>
      <c r="B80" t="s">
        <v>41</v>
      </c>
      <c r="C80">
        <v>1</v>
      </c>
      <c r="D80" t="s">
        <v>240</v>
      </c>
      <c r="E80" t="s">
        <v>351</v>
      </c>
      <c r="F80">
        <v>0.1</v>
      </c>
      <c r="G80">
        <v>1352</v>
      </c>
      <c r="H80">
        <v>135.19999999999999</v>
      </c>
      <c r="L80" t="s">
        <v>321</v>
      </c>
      <c r="M80">
        <f t="shared" si="4"/>
        <v>2</v>
      </c>
      <c r="N80" s="3">
        <f t="shared" si="5"/>
        <v>141.88</v>
      </c>
    </row>
    <row r="81" spans="1:14" x14ac:dyDescent="0.25">
      <c r="A81" t="s">
        <v>8</v>
      </c>
      <c r="B81" t="s">
        <v>41</v>
      </c>
      <c r="C81">
        <v>1</v>
      </c>
      <c r="D81" t="s">
        <v>241</v>
      </c>
      <c r="E81" t="s">
        <v>352</v>
      </c>
      <c r="F81">
        <v>0.5</v>
      </c>
      <c r="G81">
        <v>1332</v>
      </c>
      <c r="H81">
        <v>666</v>
      </c>
      <c r="L81" t="s">
        <v>409</v>
      </c>
      <c r="M81">
        <f t="shared" si="4"/>
        <v>1</v>
      </c>
      <c r="N81" s="3">
        <f t="shared" si="5"/>
        <v>139.19999999999999</v>
      </c>
    </row>
    <row r="82" spans="1:14" x14ac:dyDescent="0.25">
      <c r="A82" t="s">
        <v>8</v>
      </c>
      <c r="B82" t="s">
        <v>41</v>
      </c>
      <c r="C82">
        <v>1</v>
      </c>
      <c r="D82" t="s">
        <v>242</v>
      </c>
      <c r="E82" t="s">
        <v>353</v>
      </c>
      <c r="F82">
        <v>0.5</v>
      </c>
      <c r="G82">
        <v>1332</v>
      </c>
      <c r="H82">
        <v>666</v>
      </c>
      <c r="L82" t="s">
        <v>351</v>
      </c>
      <c r="M82">
        <f t="shared" si="4"/>
        <v>1</v>
      </c>
      <c r="N82" s="3">
        <f t="shared" si="5"/>
        <v>135.19999999999999</v>
      </c>
    </row>
    <row r="83" spans="1:14" x14ac:dyDescent="0.25">
      <c r="A83" t="s">
        <v>8</v>
      </c>
      <c r="B83" t="s">
        <v>42</v>
      </c>
      <c r="C83">
        <v>1</v>
      </c>
      <c r="D83" t="s">
        <v>206</v>
      </c>
      <c r="E83" t="s">
        <v>317</v>
      </c>
      <c r="F83">
        <v>1.5</v>
      </c>
      <c r="G83">
        <v>567</v>
      </c>
      <c r="H83">
        <v>850.5</v>
      </c>
      <c r="L83" t="s">
        <v>410</v>
      </c>
      <c r="M83">
        <f t="shared" si="4"/>
        <v>1</v>
      </c>
      <c r="N83" s="3">
        <f t="shared" si="5"/>
        <v>130</v>
      </c>
    </row>
    <row r="84" spans="1:14" x14ac:dyDescent="0.25">
      <c r="A84" t="s">
        <v>8</v>
      </c>
      <c r="B84" t="s">
        <v>42</v>
      </c>
      <c r="C84">
        <v>1</v>
      </c>
      <c r="D84" t="s">
        <v>205</v>
      </c>
      <c r="E84" t="s">
        <v>316</v>
      </c>
      <c r="F84">
        <v>2</v>
      </c>
      <c r="G84">
        <v>873</v>
      </c>
      <c r="H84">
        <v>1746</v>
      </c>
      <c r="L84" t="s">
        <v>389</v>
      </c>
      <c r="M84">
        <f t="shared" si="4"/>
        <v>1</v>
      </c>
      <c r="N84" s="3">
        <f t="shared" si="5"/>
        <v>125.2</v>
      </c>
    </row>
    <row r="85" spans="1:14" x14ac:dyDescent="0.25">
      <c r="A85" t="s">
        <v>8</v>
      </c>
      <c r="B85" t="s">
        <v>42</v>
      </c>
      <c r="C85">
        <v>1</v>
      </c>
      <c r="D85" t="s">
        <v>207</v>
      </c>
      <c r="E85" t="s">
        <v>318</v>
      </c>
      <c r="F85">
        <v>1</v>
      </c>
      <c r="G85">
        <v>893</v>
      </c>
      <c r="H85">
        <v>893</v>
      </c>
      <c r="L85" t="s">
        <v>334</v>
      </c>
      <c r="M85">
        <f t="shared" si="4"/>
        <v>1</v>
      </c>
      <c r="N85" s="3">
        <f t="shared" si="5"/>
        <v>112.8</v>
      </c>
    </row>
    <row r="86" spans="1:14" x14ac:dyDescent="0.25">
      <c r="A86" t="s">
        <v>8</v>
      </c>
      <c r="B86" t="s">
        <v>43</v>
      </c>
      <c r="C86">
        <v>1</v>
      </c>
      <c r="D86" t="s">
        <v>205</v>
      </c>
      <c r="E86" t="s">
        <v>316</v>
      </c>
      <c r="F86">
        <v>0.5</v>
      </c>
      <c r="G86">
        <v>873</v>
      </c>
      <c r="H86">
        <v>436.5</v>
      </c>
      <c r="L86" t="s">
        <v>398</v>
      </c>
      <c r="M86">
        <f t="shared" si="4"/>
        <v>1</v>
      </c>
      <c r="N86" s="3">
        <f t="shared" si="5"/>
        <v>111.4</v>
      </c>
    </row>
    <row r="87" spans="1:14" x14ac:dyDescent="0.25">
      <c r="A87" t="s">
        <v>8</v>
      </c>
      <c r="B87" t="s">
        <v>43</v>
      </c>
      <c r="C87">
        <v>1</v>
      </c>
      <c r="D87" t="s">
        <v>206</v>
      </c>
      <c r="E87" t="s">
        <v>317</v>
      </c>
      <c r="F87">
        <v>0.5</v>
      </c>
      <c r="G87">
        <v>567</v>
      </c>
      <c r="H87">
        <v>283.5</v>
      </c>
      <c r="L87" t="s">
        <v>401</v>
      </c>
      <c r="M87">
        <f t="shared" si="4"/>
        <v>1</v>
      </c>
      <c r="N87" s="3">
        <f t="shared" si="5"/>
        <v>111.3</v>
      </c>
    </row>
    <row r="88" spans="1:14" x14ac:dyDescent="0.25">
      <c r="A88" t="s">
        <v>8</v>
      </c>
      <c r="B88" t="s">
        <v>43</v>
      </c>
      <c r="C88">
        <v>1</v>
      </c>
      <c r="D88" t="s">
        <v>207</v>
      </c>
      <c r="E88" t="s">
        <v>318</v>
      </c>
      <c r="F88">
        <v>0.5</v>
      </c>
      <c r="G88">
        <v>893</v>
      </c>
      <c r="H88">
        <v>446.5</v>
      </c>
      <c r="L88" t="s">
        <v>403</v>
      </c>
      <c r="M88">
        <f t="shared" si="4"/>
        <v>1</v>
      </c>
      <c r="N88" s="3">
        <f t="shared" si="5"/>
        <v>92.4</v>
      </c>
    </row>
    <row r="89" spans="1:14" x14ac:dyDescent="0.25">
      <c r="A89" t="s">
        <v>8</v>
      </c>
      <c r="B89" t="s">
        <v>44</v>
      </c>
      <c r="C89">
        <v>1</v>
      </c>
      <c r="D89" t="s">
        <v>243</v>
      </c>
      <c r="E89" t="s">
        <v>354</v>
      </c>
      <c r="F89">
        <v>0.2</v>
      </c>
      <c r="G89">
        <v>4100</v>
      </c>
      <c r="H89">
        <v>820</v>
      </c>
      <c r="L89" t="s">
        <v>364</v>
      </c>
      <c r="M89">
        <f t="shared" si="4"/>
        <v>1</v>
      </c>
      <c r="N89" s="3">
        <f t="shared" si="5"/>
        <v>91.8</v>
      </c>
    </row>
    <row r="90" spans="1:14" x14ac:dyDescent="0.25">
      <c r="A90" t="s">
        <v>8</v>
      </c>
      <c r="B90" t="s">
        <v>45</v>
      </c>
      <c r="C90">
        <v>1</v>
      </c>
      <c r="D90" t="s">
        <v>244</v>
      </c>
      <c r="E90" t="s">
        <v>355</v>
      </c>
      <c r="F90">
        <v>0.14000000000000001</v>
      </c>
      <c r="G90">
        <v>8143</v>
      </c>
      <c r="H90">
        <v>1140.02</v>
      </c>
      <c r="L90" t="s">
        <v>370</v>
      </c>
      <c r="M90">
        <f t="shared" si="4"/>
        <v>2</v>
      </c>
      <c r="N90" s="3">
        <f t="shared" si="5"/>
        <v>90</v>
      </c>
    </row>
    <row r="91" spans="1:14" x14ac:dyDescent="0.25">
      <c r="A91" t="s">
        <v>8</v>
      </c>
      <c r="B91" t="s">
        <v>45</v>
      </c>
      <c r="C91">
        <v>1</v>
      </c>
      <c r="D91" t="s">
        <v>245</v>
      </c>
      <c r="E91" t="s">
        <v>356</v>
      </c>
      <c r="F91">
        <v>3.5000000000000003E-2</v>
      </c>
      <c r="G91">
        <v>5120</v>
      </c>
      <c r="H91">
        <v>179.2</v>
      </c>
      <c r="L91" t="s">
        <v>367</v>
      </c>
      <c r="M91">
        <f t="shared" si="4"/>
        <v>1</v>
      </c>
      <c r="N91" s="3">
        <f t="shared" si="5"/>
        <v>71.900000000000006</v>
      </c>
    </row>
    <row r="92" spans="1:14" x14ac:dyDescent="0.25">
      <c r="A92" t="s">
        <v>8</v>
      </c>
      <c r="B92" t="s">
        <v>46</v>
      </c>
      <c r="C92">
        <v>1</v>
      </c>
      <c r="D92" t="s">
        <v>206</v>
      </c>
      <c r="E92" t="s">
        <v>317</v>
      </c>
      <c r="F92">
        <v>0.5</v>
      </c>
      <c r="G92">
        <v>567</v>
      </c>
      <c r="H92">
        <v>283.5</v>
      </c>
      <c r="L92" t="s">
        <v>385</v>
      </c>
      <c r="M92">
        <f t="shared" si="4"/>
        <v>1</v>
      </c>
      <c r="N92" s="3">
        <f t="shared" si="5"/>
        <v>70.900000000000006</v>
      </c>
    </row>
    <row r="93" spans="1:14" x14ac:dyDescent="0.25">
      <c r="A93" t="s">
        <v>8</v>
      </c>
      <c r="B93" t="s">
        <v>46</v>
      </c>
      <c r="C93">
        <v>1</v>
      </c>
      <c r="D93" t="s">
        <v>228</v>
      </c>
      <c r="E93" t="s">
        <v>339</v>
      </c>
      <c r="F93">
        <v>0.2</v>
      </c>
      <c r="G93">
        <v>893</v>
      </c>
      <c r="H93">
        <v>178.6</v>
      </c>
      <c r="L93" t="s">
        <v>379</v>
      </c>
      <c r="M93">
        <f t="shared" si="4"/>
        <v>1</v>
      </c>
      <c r="N93" s="3">
        <f t="shared" si="5"/>
        <v>68.599999999999994</v>
      </c>
    </row>
    <row r="94" spans="1:14" x14ac:dyDescent="0.25">
      <c r="A94" t="s">
        <v>8</v>
      </c>
      <c r="B94" t="s">
        <v>46</v>
      </c>
      <c r="C94">
        <v>1</v>
      </c>
      <c r="D94" t="s">
        <v>230</v>
      </c>
      <c r="E94" t="s">
        <v>341</v>
      </c>
      <c r="F94">
        <v>0.2</v>
      </c>
      <c r="G94">
        <v>873</v>
      </c>
      <c r="H94">
        <v>174.6</v>
      </c>
      <c r="L94" t="s">
        <v>380</v>
      </c>
      <c r="M94">
        <f t="shared" si="4"/>
        <v>1</v>
      </c>
      <c r="N94" s="3">
        <f t="shared" si="5"/>
        <v>68.599999999999994</v>
      </c>
    </row>
    <row r="95" spans="1:14" x14ac:dyDescent="0.25">
      <c r="A95" t="s">
        <v>8</v>
      </c>
      <c r="B95" t="s">
        <v>46</v>
      </c>
      <c r="C95">
        <v>1</v>
      </c>
      <c r="D95" t="s">
        <v>234</v>
      </c>
      <c r="E95" t="s">
        <v>345</v>
      </c>
      <c r="F95">
        <v>0.2</v>
      </c>
      <c r="G95">
        <v>730</v>
      </c>
      <c r="H95">
        <v>146</v>
      </c>
      <c r="L95" t="s">
        <v>381</v>
      </c>
      <c r="M95">
        <f t="shared" si="4"/>
        <v>1</v>
      </c>
      <c r="N95" s="3">
        <f t="shared" si="5"/>
        <v>68.599999999999994</v>
      </c>
    </row>
    <row r="96" spans="1:14" x14ac:dyDescent="0.25">
      <c r="A96" t="s">
        <v>8</v>
      </c>
      <c r="B96" t="s">
        <v>46</v>
      </c>
      <c r="C96">
        <v>1</v>
      </c>
      <c r="D96" t="s">
        <v>246</v>
      </c>
      <c r="E96" t="s">
        <v>357</v>
      </c>
      <c r="F96">
        <v>0.2</v>
      </c>
      <c r="G96">
        <v>189</v>
      </c>
      <c r="H96">
        <v>37.799999999999997</v>
      </c>
      <c r="L96" t="s">
        <v>369</v>
      </c>
      <c r="M96">
        <f t="shared" si="4"/>
        <v>1</v>
      </c>
      <c r="N96" s="3">
        <f t="shared" si="5"/>
        <v>50.66</v>
      </c>
    </row>
    <row r="97" spans="1:14" x14ac:dyDescent="0.25">
      <c r="A97" t="s">
        <v>8</v>
      </c>
      <c r="B97" t="s">
        <v>47</v>
      </c>
      <c r="C97">
        <v>1</v>
      </c>
      <c r="D97" t="s">
        <v>229</v>
      </c>
      <c r="E97" t="s">
        <v>340</v>
      </c>
      <c r="F97">
        <v>0.1</v>
      </c>
      <c r="G97">
        <v>567</v>
      </c>
      <c r="H97">
        <v>56.7</v>
      </c>
      <c r="L97" t="s">
        <v>368</v>
      </c>
      <c r="M97">
        <f t="shared" si="4"/>
        <v>1</v>
      </c>
      <c r="N97" s="3">
        <f t="shared" si="5"/>
        <v>43.45</v>
      </c>
    </row>
    <row r="98" spans="1:14" x14ac:dyDescent="0.25">
      <c r="A98" t="s">
        <v>8</v>
      </c>
      <c r="B98" t="s">
        <v>47</v>
      </c>
      <c r="C98">
        <v>1</v>
      </c>
      <c r="D98" t="s">
        <v>230</v>
      </c>
      <c r="E98" t="s">
        <v>341</v>
      </c>
      <c r="F98">
        <v>0.1</v>
      </c>
      <c r="G98">
        <v>873</v>
      </c>
      <c r="H98">
        <v>87.3</v>
      </c>
      <c r="L98" t="s">
        <v>399</v>
      </c>
      <c r="M98">
        <f t="shared" ref="M98:M113" si="6">COUNTIF(E:E,L98)</f>
        <v>1</v>
      </c>
      <c r="N98" s="3">
        <f t="shared" ref="N98:N113" si="7">SUMIF(E:E,L98,H:H)</f>
        <v>38</v>
      </c>
    </row>
    <row r="99" spans="1:14" x14ac:dyDescent="0.25">
      <c r="A99" t="s">
        <v>8</v>
      </c>
      <c r="B99" t="s">
        <v>47</v>
      </c>
      <c r="C99">
        <v>1</v>
      </c>
      <c r="D99" t="s">
        <v>228</v>
      </c>
      <c r="E99" t="s">
        <v>339</v>
      </c>
      <c r="F99">
        <v>0.3</v>
      </c>
      <c r="G99">
        <v>893</v>
      </c>
      <c r="H99">
        <v>267.89999999999998</v>
      </c>
      <c r="L99" t="s">
        <v>357</v>
      </c>
      <c r="M99">
        <f t="shared" si="6"/>
        <v>1</v>
      </c>
      <c r="N99" s="3">
        <f t="shared" si="7"/>
        <v>37.799999999999997</v>
      </c>
    </row>
    <row r="100" spans="1:14" x14ac:dyDescent="0.25">
      <c r="A100" t="s">
        <v>8</v>
      </c>
      <c r="B100" t="s">
        <v>48</v>
      </c>
      <c r="C100">
        <v>1</v>
      </c>
      <c r="D100" t="s">
        <v>205</v>
      </c>
      <c r="E100" t="s">
        <v>316</v>
      </c>
      <c r="F100">
        <v>1</v>
      </c>
      <c r="G100">
        <v>873</v>
      </c>
      <c r="H100">
        <v>873</v>
      </c>
      <c r="L100" t="s">
        <v>366</v>
      </c>
      <c r="M100">
        <f t="shared" si="6"/>
        <v>1</v>
      </c>
      <c r="N100" s="3">
        <f t="shared" si="7"/>
        <v>30.6</v>
      </c>
    </row>
    <row r="101" spans="1:14" x14ac:dyDescent="0.25">
      <c r="A101" t="s">
        <v>8</v>
      </c>
      <c r="B101" t="s">
        <v>48</v>
      </c>
      <c r="C101">
        <v>1</v>
      </c>
      <c r="D101" t="s">
        <v>206</v>
      </c>
      <c r="E101" t="s">
        <v>317</v>
      </c>
      <c r="F101">
        <v>1</v>
      </c>
      <c r="G101">
        <v>567</v>
      </c>
      <c r="H101">
        <v>567</v>
      </c>
      <c r="L101" t="s">
        <v>371</v>
      </c>
      <c r="M101">
        <f t="shared" si="6"/>
        <v>1</v>
      </c>
      <c r="N101" s="3">
        <f t="shared" si="7"/>
        <v>30.6</v>
      </c>
    </row>
    <row r="102" spans="1:14" x14ac:dyDescent="0.25">
      <c r="A102" t="s">
        <v>8</v>
      </c>
      <c r="B102" t="s">
        <v>48</v>
      </c>
      <c r="C102">
        <v>1</v>
      </c>
      <c r="D102" t="s">
        <v>207</v>
      </c>
      <c r="E102" t="s">
        <v>318</v>
      </c>
      <c r="F102">
        <v>1</v>
      </c>
      <c r="G102">
        <v>893</v>
      </c>
      <c r="H102">
        <v>893</v>
      </c>
      <c r="L102" t="s">
        <v>372</v>
      </c>
      <c r="M102">
        <f t="shared" si="6"/>
        <v>1</v>
      </c>
      <c r="N102" s="3">
        <f t="shared" si="7"/>
        <v>30.6</v>
      </c>
    </row>
    <row r="103" spans="1:14" x14ac:dyDescent="0.25">
      <c r="A103" t="s">
        <v>8</v>
      </c>
      <c r="B103" t="s">
        <v>49</v>
      </c>
      <c r="C103">
        <v>1</v>
      </c>
      <c r="D103" t="s">
        <v>216</v>
      </c>
      <c r="E103" t="s">
        <v>327</v>
      </c>
      <c r="F103">
        <v>0.8</v>
      </c>
      <c r="G103">
        <v>567</v>
      </c>
      <c r="H103">
        <v>453.6</v>
      </c>
      <c r="L103" t="s">
        <v>373</v>
      </c>
      <c r="M103">
        <f t="shared" si="6"/>
        <v>1</v>
      </c>
      <c r="N103" s="3">
        <f t="shared" si="7"/>
        <v>30.6</v>
      </c>
    </row>
    <row r="104" spans="1:14" x14ac:dyDescent="0.25">
      <c r="A104" t="s">
        <v>8</v>
      </c>
      <c r="B104" t="s">
        <v>49</v>
      </c>
      <c r="C104">
        <v>1</v>
      </c>
      <c r="D104" t="s">
        <v>215</v>
      </c>
      <c r="E104" t="s">
        <v>326</v>
      </c>
      <c r="F104">
        <v>0.8</v>
      </c>
      <c r="G104">
        <v>873</v>
      </c>
      <c r="H104">
        <v>698.4</v>
      </c>
      <c r="L104" t="s">
        <v>384</v>
      </c>
      <c r="M104">
        <f t="shared" si="6"/>
        <v>1</v>
      </c>
      <c r="N104" s="3">
        <f t="shared" si="7"/>
        <v>28.1</v>
      </c>
    </row>
    <row r="105" spans="1:14" x14ac:dyDescent="0.25">
      <c r="A105" t="s">
        <v>8</v>
      </c>
      <c r="B105" t="s">
        <v>50</v>
      </c>
      <c r="C105">
        <v>1</v>
      </c>
      <c r="D105" t="s">
        <v>219</v>
      </c>
      <c r="E105" t="s">
        <v>330</v>
      </c>
      <c r="F105">
        <v>0.48</v>
      </c>
      <c r="G105">
        <v>10979</v>
      </c>
      <c r="H105">
        <v>5269.92</v>
      </c>
      <c r="L105" t="s">
        <v>391</v>
      </c>
      <c r="M105">
        <f t="shared" si="6"/>
        <v>1</v>
      </c>
      <c r="N105" s="3">
        <f t="shared" si="7"/>
        <v>25</v>
      </c>
    </row>
    <row r="106" spans="1:14" x14ac:dyDescent="0.25">
      <c r="A106" t="s">
        <v>8</v>
      </c>
      <c r="B106" t="s">
        <v>50</v>
      </c>
      <c r="C106">
        <v>1</v>
      </c>
      <c r="D106" t="s">
        <v>212</v>
      </c>
      <c r="E106" t="s">
        <v>323</v>
      </c>
      <c r="F106">
        <v>0.12</v>
      </c>
      <c r="G106">
        <v>5564</v>
      </c>
      <c r="H106">
        <v>667.68</v>
      </c>
      <c r="L106" t="s">
        <v>392</v>
      </c>
      <c r="M106">
        <f t="shared" si="6"/>
        <v>1</v>
      </c>
      <c r="N106" s="3">
        <f t="shared" si="7"/>
        <v>25</v>
      </c>
    </row>
    <row r="107" spans="1:14" x14ac:dyDescent="0.25">
      <c r="A107" t="s">
        <v>8</v>
      </c>
      <c r="B107" t="s">
        <v>51</v>
      </c>
      <c r="C107">
        <v>1</v>
      </c>
      <c r="D107" t="s">
        <v>247</v>
      </c>
      <c r="E107" t="s">
        <v>358</v>
      </c>
      <c r="F107">
        <v>0.08</v>
      </c>
      <c r="G107">
        <v>22372</v>
      </c>
      <c r="H107">
        <v>1789.76</v>
      </c>
      <c r="L107" t="s">
        <v>393</v>
      </c>
      <c r="M107">
        <f t="shared" si="6"/>
        <v>1</v>
      </c>
      <c r="N107" s="3">
        <f t="shared" si="7"/>
        <v>25</v>
      </c>
    </row>
    <row r="108" spans="1:14" x14ac:dyDescent="0.25">
      <c r="A108" t="s">
        <v>8</v>
      </c>
      <c r="B108" t="s">
        <v>52</v>
      </c>
      <c r="C108">
        <v>1</v>
      </c>
      <c r="D108" t="s">
        <v>230</v>
      </c>
      <c r="E108" t="s">
        <v>341</v>
      </c>
      <c r="F108">
        <v>0.2</v>
      </c>
      <c r="G108">
        <v>850</v>
      </c>
      <c r="H108">
        <v>170</v>
      </c>
      <c r="L108" t="s">
        <v>349</v>
      </c>
      <c r="M108">
        <f t="shared" si="6"/>
        <v>1</v>
      </c>
      <c r="N108" s="3">
        <f t="shared" si="7"/>
        <v>22.27</v>
      </c>
    </row>
    <row r="109" spans="1:14" x14ac:dyDescent="0.25">
      <c r="A109" t="s">
        <v>8</v>
      </c>
      <c r="B109" t="s">
        <v>52</v>
      </c>
      <c r="C109">
        <v>1</v>
      </c>
      <c r="D109" t="s">
        <v>229</v>
      </c>
      <c r="E109" t="s">
        <v>340</v>
      </c>
      <c r="F109">
        <v>0.2</v>
      </c>
      <c r="G109">
        <v>551</v>
      </c>
      <c r="H109">
        <v>110.2</v>
      </c>
      <c r="L109" t="s">
        <v>374</v>
      </c>
      <c r="M109">
        <f t="shared" si="6"/>
        <v>1</v>
      </c>
      <c r="N109" s="3">
        <f t="shared" si="7"/>
        <v>18.2</v>
      </c>
    </row>
    <row r="110" spans="1:14" x14ac:dyDescent="0.25">
      <c r="A110" t="s">
        <v>8</v>
      </c>
      <c r="B110" t="s">
        <v>53</v>
      </c>
      <c r="C110">
        <v>1</v>
      </c>
      <c r="D110" t="s">
        <v>206</v>
      </c>
      <c r="E110" t="s">
        <v>317</v>
      </c>
      <c r="F110">
        <v>1</v>
      </c>
      <c r="G110">
        <v>551</v>
      </c>
      <c r="H110">
        <v>551</v>
      </c>
      <c r="L110" t="s">
        <v>375</v>
      </c>
      <c r="M110">
        <f t="shared" si="6"/>
        <v>1</v>
      </c>
      <c r="N110" s="3">
        <f t="shared" si="7"/>
        <v>18.2</v>
      </c>
    </row>
    <row r="111" spans="1:14" x14ac:dyDescent="0.25">
      <c r="A111" t="s">
        <v>8</v>
      </c>
      <c r="B111" t="s">
        <v>54</v>
      </c>
      <c r="C111">
        <v>1</v>
      </c>
      <c r="D111" t="s">
        <v>206</v>
      </c>
      <c r="E111" t="s">
        <v>317</v>
      </c>
      <c r="F111">
        <v>0.5</v>
      </c>
      <c r="G111">
        <v>551</v>
      </c>
      <c r="H111">
        <v>275.5</v>
      </c>
      <c r="L111" t="s">
        <v>376</v>
      </c>
      <c r="M111">
        <f t="shared" si="6"/>
        <v>1</v>
      </c>
      <c r="N111" s="3">
        <f t="shared" si="7"/>
        <v>18.2</v>
      </c>
    </row>
    <row r="112" spans="1:14" x14ac:dyDescent="0.25">
      <c r="A112" t="s">
        <v>8</v>
      </c>
      <c r="B112" t="s">
        <v>54</v>
      </c>
      <c r="C112">
        <v>1</v>
      </c>
      <c r="D112" t="s">
        <v>205</v>
      </c>
      <c r="E112" t="s">
        <v>316</v>
      </c>
      <c r="F112">
        <v>1</v>
      </c>
      <c r="G112">
        <v>850</v>
      </c>
      <c r="H112">
        <v>850</v>
      </c>
      <c r="L112" t="s">
        <v>377</v>
      </c>
      <c r="M112">
        <f t="shared" si="6"/>
        <v>1</v>
      </c>
      <c r="N112" s="3">
        <f t="shared" si="7"/>
        <v>18.2</v>
      </c>
    </row>
    <row r="113" spans="1:14" x14ac:dyDescent="0.25">
      <c r="A113" t="s">
        <v>8</v>
      </c>
      <c r="B113" t="s">
        <v>55</v>
      </c>
      <c r="C113">
        <v>1</v>
      </c>
      <c r="D113" t="s">
        <v>248</v>
      </c>
      <c r="E113" t="s">
        <v>359</v>
      </c>
      <c r="F113">
        <v>0.2</v>
      </c>
      <c r="G113">
        <v>2746</v>
      </c>
      <c r="H113">
        <v>549.20000000000005</v>
      </c>
      <c r="L113" t="s">
        <v>378</v>
      </c>
      <c r="M113">
        <f t="shared" si="6"/>
        <v>1</v>
      </c>
      <c r="N113" s="3">
        <f t="shared" si="7"/>
        <v>18.2</v>
      </c>
    </row>
    <row r="114" spans="1:14" x14ac:dyDescent="0.25">
      <c r="A114" t="s">
        <v>8</v>
      </c>
      <c r="B114" t="s">
        <v>56</v>
      </c>
      <c r="C114">
        <v>1</v>
      </c>
      <c r="D114" t="s">
        <v>206</v>
      </c>
      <c r="E114" t="s">
        <v>317</v>
      </c>
      <c r="F114">
        <v>1</v>
      </c>
      <c r="G114">
        <v>551</v>
      </c>
      <c r="H114">
        <v>551</v>
      </c>
    </row>
    <row r="115" spans="1:14" x14ac:dyDescent="0.25">
      <c r="A115" t="s">
        <v>8</v>
      </c>
      <c r="B115" t="s">
        <v>57</v>
      </c>
      <c r="C115">
        <v>1</v>
      </c>
      <c r="D115" t="s">
        <v>230</v>
      </c>
      <c r="E115" t="s">
        <v>341</v>
      </c>
      <c r="F115">
        <v>0.2</v>
      </c>
      <c r="G115">
        <v>850</v>
      </c>
      <c r="H115">
        <v>170</v>
      </c>
    </row>
    <row r="116" spans="1:14" x14ac:dyDescent="0.25">
      <c r="A116" t="s">
        <v>8</v>
      </c>
      <c r="B116" t="s">
        <v>57</v>
      </c>
      <c r="C116">
        <v>1</v>
      </c>
      <c r="D116" t="s">
        <v>229</v>
      </c>
      <c r="E116" t="s">
        <v>340</v>
      </c>
      <c r="F116">
        <v>0.2</v>
      </c>
      <c r="G116">
        <v>551</v>
      </c>
      <c r="H116">
        <v>110.2</v>
      </c>
    </row>
    <row r="117" spans="1:14" x14ac:dyDescent="0.25">
      <c r="A117" t="s">
        <v>8</v>
      </c>
      <c r="B117" t="s">
        <v>58</v>
      </c>
      <c r="C117">
        <v>1</v>
      </c>
      <c r="D117" t="s">
        <v>233</v>
      </c>
      <c r="E117" t="s">
        <v>344</v>
      </c>
      <c r="F117">
        <v>1</v>
      </c>
      <c r="G117">
        <v>474</v>
      </c>
      <c r="H117">
        <v>474</v>
      </c>
    </row>
    <row r="118" spans="1:14" x14ac:dyDescent="0.25">
      <c r="A118" t="s">
        <v>8</v>
      </c>
      <c r="B118" t="s">
        <v>59</v>
      </c>
      <c r="C118">
        <v>1</v>
      </c>
      <c r="D118" t="s">
        <v>206</v>
      </c>
      <c r="E118" t="s">
        <v>317</v>
      </c>
      <c r="F118">
        <v>0.5</v>
      </c>
      <c r="G118">
        <v>551</v>
      </c>
      <c r="H118">
        <v>275.5</v>
      </c>
    </row>
    <row r="119" spans="1:14" x14ac:dyDescent="0.25">
      <c r="A119" t="s">
        <v>8</v>
      </c>
      <c r="B119" t="s">
        <v>59</v>
      </c>
      <c r="C119">
        <v>1</v>
      </c>
      <c r="D119" t="s">
        <v>249</v>
      </c>
      <c r="E119" t="s">
        <v>360</v>
      </c>
      <c r="F119">
        <v>0.5</v>
      </c>
      <c r="G119">
        <v>940</v>
      </c>
      <c r="H119">
        <v>470</v>
      </c>
    </row>
    <row r="120" spans="1:14" x14ac:dyDescent="0.25">
      <c r="A120" t="s">
        <v>8</v>
      </c>
      <c r="B120" t="s">
        <v>59</v>
      </c>
      <c r="C120">
        <v>1</v>
      </c>
      <c r="D120" t="s">
        <v>208</v>
      </c>
      <c r="E120" t="s">
        <v>319</v>
      </c>
      <c r="F120">
        <v>0.5</v>
      </c>
      <c r="G120">
        <v>719</v>
      </c>
      <c r="H120">
        <v>359.5</v>
      </c>
    </row>
    <row r="121" spans="1:14" x14ac:dyDescent="0.25">
      <c r="A121" t="s">
        <v>8</v>
      </c>
      <c r="B121" t="s">
        <v>60</v>
      </c>
      <c r="C121">
        <v>1</v>
      </c>
      <c r="D121" t="s">
        <v>250</v>
      </c>
      <c r="E121" t="s">
        <v>361</v>
      </c>
      <c r="F121">
        <v>0.17</v>
      </c>
      <c r="G121">
        <v>8857.5</v>
      </c>
      <c r="H121">
        <v>1505.78</v>
      </c>
    </row>
    <row r="122" spans="1:14" x14ac:dyDescent="0.25">
      <c r="A122" t="s">
        <v>8</v>
      </c>
      <c r="B122" t="s">
        <v>61</v>
      </c>
      <c r="C122">
        <v>1</v>
      </c>
      <c r="D122" t="s">
        <v>206</v>
      </c>
      <c r="E122" t="s">
        <v>317</v>
      </c>
      <c r="F122">
        <v>1</v>
      </c>
      <c r="G122">
        <v>551</v>
      </c>
      <c r="H122">
        <v>551</v>
      </c>
    </row>
    <row r="123" spans="1:14" x14ac:dyDescent="0.25">
      <c r="A123" t="s">
        <v>8</v>
      </c>
      <c r="B123" t="s">
        <v>61</v>
      </c>
      <c r="C123">
        <v>1</v>
      </c>
      <c r="D123" t="s">
        <v>207</v>
      </c>
      <c r="E123" t="s">
        <v>318</v>
      </c>
      <c r="F123">
        <v>1</v>
      </c>
      <c r="G123">
        <v>869</v>
      </c>
      <c r="H123">
        <v>869</v>
      </c>
    </row>
    <row r="124" spans="1:14" x14ac:dyDescent="0.25">
      <c r="A124" t="s">
        <v>8</v>
      </c>
      <c r="B124" t="s">
        <v>61</v>
      </c>
      <c r="C124">
        <v>1</v>
      </c>
      <c r="D124" t="s">
        <v>215</v>
      </c>
      <c r="E124" t="s">
        <v>326</v>
      </c>
      <c r="F124">
        <v>0.3</v>
      </c>
      <c r="G124">
        <v>850</v>
      </c>
      <c r="H124">
        <v>255</v>
      </c>
    </row>
    <row r="125" spans="1:14" x14ac:dyDescent="0.25">
      <c r="A125" t="s">
        <v>8</v>
      </c>
      <c r="B125" t="s">
        <v>62</v>
      </c>
      <c r="C125">
        <v>1</v>
      </c>
      <c r="D125" t="s">
        <v>205</v>
      </c>
      <c r="E125" t="s">
        <v>316</v>
      </c>
      <c r="F125">
        <v>0.5</v>
      </c>
      <c r="G125">
        <v>850</v>
      </c>
      <c r="H125">
        <v>425</v>
      </c>
    </row>
    <row r="126" spans="1:14" x14ac:dyDescent="0.25">
      <c r="A126" t="s">
        <v>8</v>
      </c>
      <c r="B126" t="s">
        <v>62</v>
      </c>
      <c r="C126">
        <v>1</v>
      </c>
      <c r="D126" t="s">
        <v>207</v>
      </c>
      <c r="E126" t="s">
        <v>318</v>
      </c>
      <c r="F126">
        <v>0.5</v>
      </c>
      <c r="G126">
        <v>869</v>
      </c>
      <c r="H126">
        <v>434.5</v>
      </c>
    </row>
    <row r="127" spans="1:14" x14ac:dyDescent="0.25">
      <c r="A127" t="s">
        <v>8</v>
      </c>
      <c r="B127" t="s">
        <v>62</v>
      </c>
      <c r="C127">
        <v>1</v>
      </c>
      <c r="D127" t="s">
        <v>206</v>
      </c>
      <c r="E127" t="s">
        <v>317</v>
      </c>
      <c r="F127">
        <v>0.5</v>
      </c>
      <c r="G127">
        <v>551</v>
      </c>
      <c r="H127">
        <v>275.5</v>
      </c>
    </row>
    <row r="128" spans="1:14" x14ac:dyDescent="0.25">
      <c r="A128" t="s">
        <v>8</v>
      </c>
      <c r="B128" t="s">
        <v>63</v>
      </c>
      <c r="C128">
        <v>1</v>
      </c>
      <c r="D128" t="s">
        <v>215</v>
      </c>
      <c r="E128" t="s">
        <v>326</v>
      </c>
      <c r="F128">
        <v>0.2</v>
      </c>
      <c r="G128">
        <v>850</v>
      </c>
      <c r="H128">
        <v>170</v>
      </c>
    </row>
    <row r="129" spans="1:8" x14ac:dyDescent="0.25">
      <c r="A129" t="s">
        <v>8</v>
      </c>
      <c r="B129" t="s">
        <v>64</v>
      </c>
      <c r="C129">
        <v>1</v>
      </c>
      <c r="D129" t="s">
        <v>216</v>
      </c>
      <c r="E129" t="s">
        <v>327</v>
      </c>
      <c r="F129">
        <v>0.3</v>
      </c>
      <c r="G129">
        <v>551</v>
      </c>
      <c r="H129">
        <v>165.3</v>
      </c>
    </row>
    <row r="130" spans="1:8" x14ac:dyDescent="0.25">
      <c r="A130" t="s">
        <v>8</v>
      </c>
      <c r="B130" t="s">
        <v>64</v>
      </c>
      <c r="C130">
        <v>1</v>
      </c>
      <c r="D130" t="s">
        <v>215</v>
      </c>
      <c r="E130" t="s">
        <v>326</v>
      </c>
      <c r="F130">
        <v>0.3</v>
      </c>
      <c r="G130">
        <v>850</v>
      </c>
      <c r="H130">
        <v>255</v>
      </c>
    </row>
    <row r="131" spans="1:8" x14ac:dyDescent="0.25">
      <c r="A131" t="s">
        <v>8</v>
      </c>
      <c r="B131" t="s">
        <v>64</v>
      </c>
      <c r="C131">
        <v>1</v>
      </c>
      <c r="D131" t="s">
        <v>237</v>
      </c>
      <c r="E131" t="s">
        <v>348</v>
      </c>
      <c r="F131">
        <v>0.3</v>
      </c>
      <c r="G131">
        <v>869</v>
      </c>
      <c r="H131">
        <v>260.7</v>
      </c>
    </row>
    <row r="132" spans="1:8" x14ac:dyDescent="0.25">
      <c r="A132" t="s">
        <v>8</v>
      </c>
      <c r="B132" t="s">
        <v>65</v>
      </c>
      <c r="C132">
        <v>1</v>
      </c>
      <c r="D132" t="s">
        <v>205</v>
      </c>
      <c r="E132" t="s">
        <v>316</v>
      </c>
      <c r="F132">
        <v>1.5</v>
      </c>
      <c r="G132">
        <v>850</v>
      </c>
      <c r="H132">
        <v>1275</v>
      </c>
    </row>
    <row r="133" spans="1:8" x14ac:dyDescent="0.25">
      <c r="A133" t="s">
        <v>8</v>
      </c>
      <c r="B133" t="s">
        <v>66</v>
      </c>
      <c r="C133">
        <v>1</v>
      </c>
      <c r="D133" t="s">
        <v>207</v>
      </c>
      <c r="E133" t="s">
        <v>318</v>
      </c>
      <c r="F133">
        <v>0.5</v>
      </c>
      <c r="G133">
        <v>869</v>
      </c>
      <c r="H133">
        <v>434.5</v>
      </c>
    </row>
    <row r="134" spans="1:8" x14ac:dyDescent="0.25">
      <c r="A134" t="s">
        <v>8</v>
      </c>
      <c r="B134" t="s">
        <v>66</v>
      </c>
      <c r="C134">
        <v>1</v>
      </c>
      <c r="D134" t="s">
        <v>205</v>
      </c>
      <c r="E134" t="s">
        <v>316</v>
      </c>
      <c r="F134">
        <v>0.5</v>
      </c>
      <c r="G134">
        <v>850</v>
      </c>
      <c r="H134">
        <v>425</v>
      </c>
    </row>
    <row r="135" spans="1:8" x14ac:dyDescent="0.25">
      <c r="A135" t="s">
        <v>8</v>
      </c>
      <c r="B135" t="s">
        <v>66</v>
      </c>
      <c r="C135">
        <v>1</v>
      </c>
      <c r="D135" t="s">
        <v>206</v>
      </c>
      <c r="E135" t="s">
        <v>317</v>
      </c>
      <c r="F135">
        <v>0.5</v>
      </c>
      <c r="G135">
        <v>551</v>
      </c>
      <c r="H135">
        <v>275.5</v>
      </c>
    </row>
    <row r="136" spans="1:8" x14ac:dyDescent="0.25">
      <c r="A136" t="s">
        <v>8</v>
      </c>
      <c r="B136" t="s">
        <v>66</v>
      </c>
      <c r="C136">
        <v>1</v>
      </c>
      <c r="D136" t="s">
        <v>227</v>
      </c>
      <c r="E136" t="s">
        <v>338</v>
      </c>
      <c r="F136">
        <v>0.5</v>
      </c>
      <c r="G136">
        <v>1390</v>
      </c>
      <c r="H136">
        <v>695</v>
      </c>
    </row>
    <row r="137" spans="1:8" x14ac:dyDescent="0.25">
      <c r="A137" t="s">
        <v>8</v>
      </c>
      <c r="B137" t="s">
        <v>67</v>
      </c>
      <c r="C137">
        <v>1</v>
      </c>
      <c r="D137" t="s">
        <v>206</v>
      </c>
      <c r="E137" t="s">
        <v>317</v>
      </c>
      <c r="F137">
        <v>0.5</v>
      </c>
      <c r="G137">
        <v>551</v>
      </c>
      <c r="H137">
        <v>275.5</v>
      </c>
    </row>
    <row r="138" spans="1:8" x14ac:dyDescent="0.25">
      <c r="A138" t="s">
        <v>8</v>
      </c>
      <c r="B138" t="s">
        <v>67</v>
      </c>
      <c r="C138">
        <v>1</v>
      </c>
      <c r="D138" t="s">
        <v>205</v>
      </c>
      <c r="E138" t="s">
        <v>316</v>
      </c>
      <c r="F138">
        <v>0.5</v>
      </c>
      <c r="G138">
        <v>850</v>
      </c>
      <c r="H138">
        <v>425</v>
      </c>
    </row>
    <row r="139" spans="1:8" x14ac:dyDescent="0.25">
      <c r="A139" t="s">
        <v>8</v>
      </c>
      <c r="B139" t="s">
        <v>68</v>
      </c>
      <c r="C139">
        <v>1</v>
      </c>
      <c r="D139" t="s">
        <v>207</v>
      </c>
      <c r="E139" t="s">
        <v>318</v>
      </c>
      <c r="F139">
        <v>2</v>
      </c>
      <c r="G139">
        <v>869</v>
      </c>
      <c r="H139">
        <v>1738</v>
      </c>
    </row>
    <row r="140" spans="1:8" x14ac:dyDescent="0.25">
      <c r="A140" t="s">
        <v>8</v>
      </c>
      <c r="B140" t="s">
        <v>68</v>
      </c>
      <c r="C140">
        <v>1</v>
      </c>
      <c r="D140" t="s">
        <v>232</v>
      </c>
      <c r="E140" t="s">
        <v>343</v>
      </c>
      <c r="F140">
        <v>1.5</v>
      </c>
      <c r="G140">
        <v>186</v>
      </c>
      <c r="H140">
        <v>279</v>
      </c>
    </row>
    <row r="141" spans="1:8" x14ac:dyDescent="0.25">
      <c r="A141" t="s">
        <v>8</v>
      </c>
      <c r="B141" t="s">
        <v>69</v>
      </c>
      <c r="C141">
        <v>1</v>
      </c>
      <c r="D141" t="s">
        <v>205</v>
      </c>
      <c r="E141" t="s">
        <v>316</v>
      </c>
      <c r="F141">
        <v>1</v>
      </c>
      <c r="G141">
        <v>850</v>
      </c>
      <c r="H141">
        <v>850</v>
      </c>
    </row>
    <row r="142" spans="1:8" x14ac:dyDescent="0.25">
      <c r="A142" t="s">
        <v>8</v>
      </c>
      <c r="B142" t="s">
        <v>69</v>
      </c>
      <c r="C142">
        <v>1</v>
      </c>
      <c r="D142" t="s">
        <v>251</v>
      </c>
      <c r="E142" t="s">
        <v>362</v>
      </c>
      <c r="F142">
        <v>0.5</v>
      </c>
      <c r="G142">
        <v>1332</v>
      </c>
      <c r="H142">
        <v>666</v>
      </c>
    </row>
    <row r="143" spans="1:8" x14ac:dyDescent="0.25">
      <c r="A143" t="s">
        <v>8</v>
      </c>
      <c r="B143" t="s">
        <v>69</v>
      </c>
      <c r="C143">
        <v>1</v>
      </c>
      <c r="D143" t="s">
        <v>204</v>
      </c>
      <c r="E143" t="s">
        <v>315</v>
      </c>
      <c r="F143">
        <v>0.5</v>
      </c>
      <c r="G143">
        <v>539</v>
      </c>
      <c r="H143">
        <v>269.5</v>
      </c>
    </row>
    <row r="144" spans="1:8" x14ac:dyDescent="0.25">
      <c r="A144" t="s">
        <v>8</v>
      </c>
      <c r="B144" t="s">
        <v>70</v>
      </c>
      <c r="C144">
        <v>1</v>
      </c>
      <c r="D144" t="s">
        <v>205</v>
      </c>
      <c r="E144" t="s">
        <v>316</v>
      </c>
      <c r="F144">
        <v>0.5</v>
      </c>
      <c r="G144">
        <v>850</v>
      </c>
      <c r="H144">
        <v>425</v>
      </c>
    </row>
    <row r="145" spans="1:8" x14ac:dyDescent="0.25">
      <c r="A145" t="s">
        <v>8</v>
      </c>
      <c r="B145" t="s">
        <v>71</v>
      </c>
      <c r="C145">
        <v>1</v>
      </c>
      <c r="D145" t="s">
        <v>252</v>
      </c>
      <c r="E145" t="s">
        <v>363</v>
      </c>
      <c r="F145">
        <v>0.5</v>
      </c>
      <c r="G145">
        <v>457</v>
      </c>
      <c r="H145">
        <v>228.5</v>
      </c>
    </row>
    <row r="146" spans="1:8" x14ac:dyDescent="0.25">
      <c r="A146" t="s">
        <v>8</v>
      </c>
      <c r="B146" t="s">
        <v>71</v>
      </c>
      <c r="C146">
        <v>1</v>
      </c>
      <c r="D146" t="s">
        <v>203</v>
      </c>
      <c r="E146" t="s">
        <v>314</v>
      </c>
      <c r="F146">
        <v>1</v>
      </c>
      <c r="G146">
        <v>545</v>
      </c>
      <c r="H146">
        <v>545</v>
      </c>
    </row>
    <row r="147" spans="1:8" x14ac:dyDescent="0.25">
      <c r="A147" t="s">
        <v>8</v>
      </c>
      <c r="B147" t="s">
        <v>71</v>
      </c>
      <c r="C147">
        <v>1</v>
      </c>
      <c r="D147" t="s">
        <v>253</v>
      </c>
      <c r="E147" t="s">
        <v>364</v>
      </c>
      <c r="F147">
        <v>0.1</v>
      </c>
      <c r="G147">
        <v>918</v>
      </c>
      <c r="H147">
        <v>91.8</v>
      </c>
    </row>
    <row r="148" spans="1:8" x14ac:dyDescent="0.25">
      <c r="A148" t="s">
        <v>8</v>
      </c>
      <c r="B148" t="s">
        <v>71</v>
      </c>
      <c r="C148">
        <v>1</v>
      </c>
      <c r="D148" t="s">
        <v>204</v>
      </c>
      <c r="E148" t="s">
        <v>315</v>
      </c>
      <c r="F148">
        <v>0.5</v>
      </c>
      <c r="G148">
        <v>539</v>
      </c>
      <c r="H148">
        <v>269.5</v>
      </c>
    </row>
    <row r="149" spans="1:8" x14ac:dyDescent="0.25">
      <c r="A149" t="s">
        <v>8</v>
      </c>
      <c r="B149" t="s">
        <v>72</v>
      </c>
      <c r="C149">
        <v>1</v>
      </c>
      <c r="D149" t="s">
        <v>209</v>
      </c>
      <c r="E149" t="s">
        <v>320</v>
      </c>
      <c r="F149">
        <v>1.28</v>
      </c>
      <c r="G149">
        <v>2168</v>
      </c>
      <c r="H149">
        <v>2775.04</v>
      </c>
    </row>
    <row r="150" spans="1:8" x14ac:dyDescent="0.25">
      <c r="A150" t="s">
        <v>8</v>
      </c>
      <c r="B150" t="s">
        <v>72</v>
      </c>
      <c r="C150">
        <v>1</v>
      </c>
      <c r="D150" t="s">
        <v>254</v>
      </c>
      <c r="E150" t="s">
        <v>365</v>
      </c>
      <c r="F150">
        <v>0.32</v>
      </c>
      <c r="G150">
        <v>978</v>
      </c>
      <c r="H150">
        <v>312.95999999999998</v>
      </c>
    </row>
    <row r="151" spans="1:8" x14ac:dyDescent="0.25">
      <c r="A151" t="s">
        <v>8</v>
      </c>
      <c r="B151" t="s">
        <v>73</v>
      </c>
      <c r="C151">
        <v>1</v>
      </c>
      <c r="D151" t="s">
        <v>206</v>
      </c>
      <c r="E151" t="s">
        <v>317</v>
      </c>
      <c r="F151">
        <v>0.5</v>
      </c>
      <c r="G151">
        <v>551</v>
      </c>
      <c r="H151">
        <v>275.5</v>
      </c>
    </row>
    <row r="152" spans="1:8" x14ac:dyDescent="0.25">
      <c r="A152" t="s">
        <v>8</v>
      </c>
      <c r="B152" t="s">
        <v>73</v>
      </c>
      <c r="C152">
        <v>1</v>
      </c>
      <c r="D152" t="s">
        <v>205</v>
      </c>
      <c r="E152" t="s">
        <v>316</v>
      </c>
      <c r="F152">
        <v>0.5</v>
      </c>
      <c r="G152">
        <v>850</v>
      </c>
      <c r="H152">
        <v>425</v>
      </c>
    </row>
    <row r="153" spans="1:8" x14ac:dyDescent="0.25">
      <c r="A153" t="s">
        <v>8</v>
      </c>
      <c r="B153" t="s">
        <v>73</v>
      </c>
      <c r="C153">
        <v>1</v>
      </c>
      <c r="D153" t="s">
        <v>207</v>
      </c>
      <c r="E153" t="s">
        <v>318</v>
      </c>
      <c r="F153">
        <v>0.5</v>
      </c>
      <c r="G153">
        <v>869</v>
      </c>
      <c r="H153">
        <v>434.5</v>
      </c>
    </row>
    <row r="154" spans="1:8" x14ac:dyDescent="0.25">
      <c r="A154" t="s">
        <v>8</v>
      </c>
      <c r="B154" t="s">
        <v>73</v>
      </c>
      <c r="C154">
        <v>1</v>
      </c>
      <c r="D154" t="s">
        <v>255</v>
      </c>
      <c r="E154" t="s">
        <v>366</v>
      </c>
      <c r="F154">
        <v>0.2</v>
      </c>
      <c r="G154">
        <v>153</v>
      </c>
      <c r="H154">
        <v>30.6</v>
      </c>
    </row>
    <row r="155" spans="1:8" x14ac:dyDescent="0.25">
      <c r="A155" t="s">
        <v>8</v>
      </c>
      <c r="B155" t="s">
        <v>74</v>
      </c>
      <c r="C155">
        <v>1</v>
      </c>
      <c r="D155" t="s">
        <v>205</v>
      </c>
      <c r="E155" t="s">
        <v>316</v>
      </c>
      <c r="F155">
        <v>1</v>
      </c>
      <c r="G155">
        <v>850</v>
      </c>
      <c r="H155">
        <v>850</v>
      </c>
    </row>
    <row r="156" spans="1:8" x14ac:dyDescent="0.25">
      <c r="A156" t="s">
        <v>8</v>
      </c>
      <c r="B156" t="s">
        <v>75</v>
      </c>
      <c r="C156">
        <v>1</v>
      </c>
      <c r="D156" t="s">
        <v>206</v>
      </c>
      <c r="E156" t="s">
        <v>317</v>
      </c>
      <c r="F156">
        <v>0.5</v>
      </c>
      <c r="G156">
        <v>551</v>
      </c>
      <c r="H156">
        <v>275.5</v>
      </c>
    </row>
    <row r="157" spans="1:8" x14ac:dyDescent="0.25">
      <c r="A157" t="s">
        <v>8</v>
      </c>
      <c r="B157" t="s">
        <v>75</v>
      </c>
      <c r="C157">
        <v>1</v>
      </c>
      <c r="D157" t="s">
        <v>205</v>
      </c>
      <c r="E157" t="s">
        <v>316</v>
      </c>
      <c r="F157">
        <v>0.5</v>
      </c>
      <c r="G157">
        <v>850</v>
      </c>
      <c r="H157">
        <v>425</v>
      </c>
    </row>
    <row r="158" spans="1:8" x14ac:dyDescent="0.25">
      <c r="A158" t="s">
        <v>8</v>
      </c>
      <c r="B158" t="s">
        <v>76</v>
      </c>
      <c r="C158">
        <v>1</v>
      </c>
      <c r="D158" t="s">
        <v>206</v>
      </c>
      <c r="E158" t="s">
        <v>317</v>
      </c>
      <c r="F158">
        <v>0.5</v>
      </c>
      <c r="G158">
        <v>551</v>
      </c>
      <c r="H158">
        <v>275.5</v>
      </c>
    </row>
    <row r="159" spans="1:8" x14ac:dyDescent="0.25">
      <c r="A159" t="s">
        <v>8</v>
      </c>
      <c r="B159" t="s">
        <v>76</v>
      </c>
      <c r="C159">
        <v>1</v>
      </c>
      <c r="D159" t="s">
        <v>205</v>
      </c>
      <c r="E159" t="s">
        <v>316</v>
      </c>
      <c r="F159">
        <v>0.5</v>
      </c>
      <c r="G159">
        <v>850</v>
      </c>
      <c r="H159">
        <v>425</v>
      </c>
    </row>
    <row r="160" spans="1:8" x14ac:dyDescent="0.25">
      <c r="A160" t="s">
        <v>8</v>
      </c>
      <c r="B160" t="s">
        <v>76</v>
      </c>
      <c r="C160">
        <v>1</v>
      </c>
      <c r="D160" t="s">
        <v>207</v>
      </c>
      <c r="E160" t="s">
        <v>318</v>
      </c>
      <c r="F160">
        <v>0.5</v>
      </c>
      <c r="G160">
        <v>869</v>
      </c>
      <c r="H160">
        <v>434.5</v>
      </c>
    </row>
    <row r="161" spans="1:8" x14ac:dyDescent="0.25">
      <c r="A161" t="s">
        <v>8</v>
      </c>
      <c r="B161" t="s">
        <v>77</v>
      </c>
      <c r="C161">
        <v>1</v>
      </c>
      <c r="D161" t="s">
        <v>205</v>
      </c>
      <c r="E161" t="s">
        <v>316</v>
      </c>
      <c r="F161">
        <v>2.5</v>
      </c>
      <c r="G161">
        <v>850</v>
      </c>
      <c r="H161">
        <v>2125</v>
      </c>
    </row>
    <row r="162" spans="1:8" x14ac:dyDescent="0.25">
      <c r="A162" t="s">
        <v>8</v>
      </c>
      <c r="B162" t="s">
        <v>77</v>
      </c>
      <c r="C162">
        <v>1</v>
      </c>
      <c r="D162" t="s">
        <v>206</v>
      </c>
      <c r="E162" t="s">
        <v>317</v>
      </c>
      <c r="F162">
        <v>1.5</v>
      </c>
      <c r="G162">
        <v>551</v>
      </c>
      <c r="H162">
        <v>826.5</v>
      </c>
    </row>
    <row r="163" spans="1:8" x14ac:dyDescent="0.25">
      <c r="A163" t="s">
        <v>8</v>
      </c>
      <c r="B163" t="s">
        <v>77</v>
      </c>
      <c r="C163">
        <v>1</v>
      </c>
      <c r="D163" t="s">
        <v>208</v>
      </c>
      <c r="E163" t="s">
        <v>319</v>
      </c>
      <c r="F163">
        <v>1</v>
      </c>
      <c r="G163">
        <v>719</v>
      </c>
      <c r="H163">
        <v>719</v>
      </c>
    </row>
    <row r="164" spans="1:8" x14ac:dyDescent="0.25">
      <c r="A164" t="s">
        <v>8</v>
      </c>
      <c r="B164" t="s">
        <v>78</v>
      </c>
      <c r="C164">
        <v>1</v>
      </c>
      <c r="D164" t="s">
        <v>206</v>
      </c>
      <c r="E164" t="s">
        <v>317</v>
      </c>
      <c r="F164">
        <v>1</v>
      </c>
      <c r="G164">
        <v>551</v>
      </c>
      <c r="H164">
        <v>551</v>
      </c>
    </row>
    <row r="165" spans="1:8" x14ac:dyDescent="0.25">
      <c r="A165" t="s">
        <v>8</v>
      </c>
      <c r="B165" t="s">
        <v>78</v>
      </c>
      <c r="C165">
        <v>1</v>
      </c>
      <c r="D165" t="s">
        <v>205</v>
      </c>
      <c r="E165" t="s">
        <v>316</v>
      </c>
      <c r="F165">
        <v>1</v>
      </c>
      <c r="G165">
        <v>850</v>
      </c>
      <c r="H165">
        <v>850</v>
      </c>
    </row>
    <row r="166" spans="1:8" x14ac:dyDescent="0.25">
      <c r="A166" t="s">
        <v>8</v>
      </c>
      <c r="B166" t="s">
        <v>79</v>
      </c>
      <c r="C166">
        <v>1</v>
      </c>
      <c r="D166" t="s">
        <v>215</v>
      </c>
      <c r="E166" t="s">
        <v>326</v>
      </c>
      <c r="F166">
        <v>0.8</v>
      </c>
      <c r="G166">
        <v>850</v>
      </c>
      <c r="H166">
        <v>680</v>
      </c>
    </row>
    <row r="167" spans="1:8" x14ac:dyDescent="0.25">
      <c r="A167" t="s">
        <v>8</v>
      </c>
      <c r="B167" t="s">
        <v>79</v>
      </c>
      <c r="C167">
        <v>1</v>
      </c>
      <c r="D167" t="s">
        <v>207</v>
      </c>
      <c r="E167" t="s">
        <v>318</v>
      </c>
      <c r="F167">
        <v>0.5</v>
      </c>
      <c r="G167">
        <v>869</v>
      </c>
      <c r="H167">
        <v>434.5</v>
      </c>
    </row>
    <row r="168" spans="1:8" x14ac:dyDescent="0.25">
      <c r="A168" t="s">
        <v>8</v>
      </c>
      <c r="B168" t="s">
        <v>80</v>
      </c>
      <c r="C168">
        <v>1</v>
      </c>
      <c r="D168" t="s">
        <v>207</v>
      </c>
      <c r="E168" t="s">
        <v>318</v>
      </c>
      <c r="F168">
        <v>0.5</v>
      </c>
      <c r="G168">
        <v>869</v>
      </c>
      <c r="H168">
        <v>434.5</v>
      </c>
    </row>
    <row r="169" spans="1:8" x14ac:dyDescent="0.25">
      <c r="A169" t="s">
        <v>8</v>
      </c>
      <c r="B169" t="s">
        <v>80</v>
      </c>
      <c r="C169">
        <v>1</v>
      </c>
      <c r="D169" t="s">
        <v>206</v>
      </c>
      <c r="E169" t="s">
        <v>317</v>
      </c>
      <c r="F169">
        <v>0.5</v>
      </c>
      <c r="G169">
        <v>551</v>
      </c>
      <c r="H169">
        <v>275.5</v>
      </c>
    </row>
    <row r="170" spans="1:8" x14ac:dyDescent="0.25">
      <c r="A170" t="s">
        <v>8</v>
      </c>
      <c r="B170" t="s">
        <v>80</v>
      </c>
      <c r="C170">
        <v>1</v>
      </c>
      <c r="D170" t="s">
        <v>205</v>
      </c>
      <c r="E170" t="s">
        <v>316</v>
      </c>
      <c r="F170">
        <v>1</v>
      </c>
      <c r="G170">
        <v>850</v>
      </c>
      <c r="H170">
        <v>850</v>
      </c>
    </row>
    <row r="171" spans="1:8" x14ac:dyDescent="0.25">
      <c r="A171" t="s">
        <v>8</v>
      </c>
      <c r="B171" t="s">
        <v>80</v>
      </c>
      <c r="C171">
        <v>1</v>
      </c>
      <c r="D171" t="s">
        <v>256</v>
      </c>
      <c r="E171" t="s">
        <v>367</v>
      </c>
      <c r="F171">
        <v>0.1</v>
      </c>
      <c r="G171">
        <v>719</v>
      </c>
      <c r="H171">
        <v>71.900000000000006</v>
      </c>
    </row>
    <row r="172" spans="1:8" x14ac:dyDescent="0.25">
      <c r="A172" t="s">
        <v>8</v>
      </c>
      <c r="B172" t="s">
        <v>81</v>
      </c>
      <c r="C172">
        <v>1</v>
      </c>
      <c r="D172" t="s">
        <v>205</v>
      </c>
      <c r="E172" t="s">
        <v>316</v>
      </c>
      <c r="F172">
        <v>0.5</v>
      </c>
      <c r="G172">
        <v>850</v>
      </c>
      <c r="H172">
        <v>425</v>
      </c>
    </row>
    <row r="173" spans="1:8" x14ac:dyDescent="0.25">
      <c r="A173" t="s">
        <v>8</v>
      </c>
      <c r="B173" t="s">
        <v>81</v>
      </c>
      <c r="C173">
        <v>1</v>
      </c>
      <c r="D173" t="s">
        <v>206</v>
      </c>
      <c r="E173" t="s">
        <v>317</v>
      </c>
      <c r="F173">
        <v>0.5</v>
      </c>
      <c r="G173">
        <v>551</v>
      </c>
      <c r="H173">
        <v>275.5</v>
      </c>
    </row>
    <row r="174" spans="1:8" x14ac:dyDescent="0.25">
      <c r="A174" t="s">
        <v>8</v>
      </c>
      <c r="B174" t="s">
        <v>82</v>
      </c>
      <c r="C174">
        <v>1</v>
      </c>
      <c r="D174" t="s">
        <v>206</v>
      </c>
      <c r="E174" t="s">
        <v>317</v>
      </c>
      <c r="F174">
        <v>0.5</v>
      </c>
      <c r="G174">
        <v>551</v>
      </c>
      <c r="H174">
        <v>275.5</v>
      </c>
    </row>
    <row r="175" spans="1:8" x14ac:dyDescent="0.25">
      <c r="A175" t="s">
        <v>8</v>
      </c>
      <c r="B175" t="s">
        <v>82</v>
      </c>
      <c r="C175">
        <v>1</v>
      </c>
      <c r="D175" t="s">
        <v>205</v>
      </c>
      <c r="E175" t="s">
        <v>316</v>
      </c>
      <c r="F175">
        <v>0.5</v>
      </c>
      <c r="G175">
        <v>850</v>
      </c>
      <c r="H175">
        <v>425</v>
      </c>
    </row>
    <row r="176" spans="1:8" x14ac:dyDescent="0.25">
      <c r="A176" t="s">
        <v>8</v>
      </c>
      <c r="B176" t="s">
        <v>83</v>
      </c>
      <c r="C176">
        <v>1</v>
      </c>
      <c r="D176" t="s">
        <v>205</v>
      </c>
      <c r="E176" t="s">
        <v>316</v>
      </c>
      <c r="F176">
        <v>3</v>
      </c>
      <c r="G176">
        <v>850</v>
      </c>
      <c r="H176">
        <v>2550</v>
      </c>
    </row>
    <row r="177" spans="1:8" x14ac:dyDescent="0.25">
      <c r="A177" t="s">
        <v>8</v>
      </c>
      <c r="B177" t="s">
        <v>83</v>
      </c>
      <c r="C177">
        <v>1</v>
      </c>
      <c r="D177" t="s">
        <v>206</v>
      </c>
      <c r="E177" t="s">
        <v>317</v>
      </c>
      <c r="F177">
        <v>2</v>
      </c>
      <c r="G177">
        <v>551</v>
      </c>
      <c r="H177">
        <v>1102</v>
      </c>
    </row>
    <row r="178" spans="1:8" x14ac:dyDescent="0.25">
      <c r="A178" t="s">
        <v>8</v>
      </c>
      <c r="B178" t="s">
        <v>83</v>
      </c>
      <c r="C178">
        <v>1</v>
      </c>
      <c r="D178" t="s">
        <v>207</v>
      </c>
      <c r="E178" t="s">
        <v>318</v>
      </c>
      <c r="F178">
        <v>1.5</v>
      </c>
      <c r="G178">
        <v>869</v>
      </c>
      <c r="H178">
        <v>1303.5</v>
      </c>
    </row>
    <row r="179" spans="1:8" x14ac:dyDescent="0.25">
      <c r="A179" t="s">
        <v>8</v>
      </c>
      <c r="B179" t="s">
        <v>83</v>
      </c>
      <c r="C179">
        <v>1</v>
      </c>
      <c r="D179" t="s">
        <v>222</v>
      </c>
      <c r="E179" t="s">
        <v>333</v>
      </c>
      <c r="F179">
        <v>0.2</v>
      </c>
      <c r="G179">
        <v>8446</v>
      </c>
      <c r="H179">
        <v>1689.2</v>
      </c>
    </row>
    <row r="180" spans="1:8" x14ac:dyDescent="0.25">
      <c r="A180" t="s">
        <v>8</v>
      </c>
      <c r="B180" t="s">
        <v>83</v>
      </c>
      <c r="C180">
        <v>1</v>
      </c>
      <c r="D180" t="s">
        <v>224</v>
      </c>
      <c r="E180" t="s">
        <v>335</v>
      </c>
      <c r="F180">
        <v>0.2</v>
      </c>
      <c r="G180">
        <v>3857</v>
      </c>
      <c r="H180">
        <v>771.4</v>
      </c>
    </row>
    <row r="181" spans="1:8" x14ac:dyDescent="0.25">
      <c r="A181" t="s">
        <v>8</v>
      </c>
      <c r="B181" t="s">
        <v>84</v>
      </c>
      <c r="C181">
        <v>1</v>
      </c>
      <c r="D181" t="s">
        <v>237</v>
      </c>
      <c r="E181" t="s">
        <v>348</v>
      </c>
      <c r="F181">
        <v>0.2</v>
      </c>
      <c r="G181">
        <v>869</v>
      </c>
      <c r="H181">
        <v>173.8</v>
      </c>
    </row>
    <row r="182" spans="1:8" x14ac:dyDescent="0.25">
      <c r="A182" t="s">
        <v>8</v>
      </c>
      <c r="B182" t="s">
        <v>84</v>
      </c>
      <c r="C182">
        <v>1</v>
      </c>
      <c r="D182" t="s">
        <v>216</v>
      </c>
      <c r="E182" t="s">
        <v>327</v>
      </c>
      <c r="F182">
        <v>0.3</v>
      </c>
      <c r="G182">
        <v>551</v>
      </c>
      <c r="H182">
        <v>165.3</v>
      </c>
    </row>
    <row r="183" spans="1:8" x14ac:dyDescent="0.25">
      <c r="A183" t="s">
        <v>8</v>
      </c>
      <c r="B183" t="s">
        <v>85</v>
      </c>
      <c r="C183">
        <v>1</v>
      </c>
      <c r="D183" t="s">
        <v>205</v>
      </c>
      <c r="E183" t="s">
        <v>316</v>
      </c>
      <c r="F183">
        <v>2.5</v>
      </c>
      <c r="G183">
        <v>850</v>
      </c>
      <c r="H183">
        <v>2125</v>
      </c>
    </row>
    <row r="184" spans="1:8" x14ac:dyDescent="0.25">
      <c r="A184" t="s">
        <v>8</v>
      </c>
      <c r="B184" t="s">
        <v>85</v>
      </c>
      <c r="C184">
        <v>1</v>
      </c>
      <c r="D184" t="s">
        <v>222</v>
      </c>
      <c r="E184" t="s">
        <v>333</v>
      </c>
      <c r="F184">
        <v>0.05</v>
      </c>
      <c r="G184">
        <v>8446</v>
      </c>
      <c r="H184">
        <v>422.3</v>
      </c>
    </row>
    <row r="185" spans="1:8" x14ac:dyDescent="0.25">
      <c r="A185" t="s">
        <v>8</v>
      </c>
      <c r="B185" t="s">
        <v>86</v>
      </c>
      <c r="C185">
        <v>1</v>
      </c>
      <c r="D185" t="s">
        <v>230</v>
      </c>
      <c r="E185" t="s">
        <v>341</v>
      </c>
      <c r="F185">
        <v>0.3</v>
      </c>
      <c r="G185">
        <v>850</v>
      </c>
      <c r="H185">
        <v>255</v>
      </c>
    </row>
    <row r="186" spans="1:8" x14ac:dyDescent="0.25">
      <c r="A186" t="s">
        <v>8</v>
      </c>
      <c r="B186" t="s">
        <v>86</v>
      </c>
      <c r="C186">
        <v>1</v>
      </c>
      <c r="D186" t="s">
        <v>229</v>
      </c>
      <c r="E186" t="s">
        <v>340</v>
      </c>
      <c r="F186">
        <v>0.2</v>
      </c>
      <c r="G186">
        <v>551</v>
      </c>
      <c r="H186">
        <v>110.2</v>
      </c>
    </row>
    <row r="187" spans="1:8" x14ac:dyDescent="0.25">
      <c r="A187" t="s">
        <v>8</v>
      </c>
      <c r="B187" t="s">
        <v>87</v>
      </c>
      <c r="C187">
        <v>1</v>
      </c>
      <c r="D187" t="s">
        <v>252</v>
      </c>
      <c r="E187" t="s">
        <v>363</v>
      </c>
      <c r="F187">
        <v>0.5</v>
      </c>
      <c r="G187">
        <v>457</v>
      </c>
      <c r="H187">
        <v>228.5</v>
      </c>
    </row>
    <row r="188" spans="1:8" x14ac:dyDescent="0.25">
      <c r="A188" t="s">
        <v>8</v>
      </c>
      <c r="B188" t="s">
        <v>87</v>
      </c>
      <c r="C188">
        <v>1</v>
      </c>
      <c r="D188" t="s">
        <v>232</v>
      </c>
      <c r="E188" t="s">
        <v>343</v>
      </c>
      <c r="F188">
        <v>0.5</v>
      </c>
      <c r="G188">
        <v>186</v>
      </c>
      <c r="H188">
        <v>93</v>
      </c>
    </row>
    <row r="189" spans="1:8" x14ac:dyDescent="0.25">
      <c r="A189" t="s">
        <v>8</v>
      </c>
      <c r="B189" t="s">
        <v>87</v>
      </c>
      <c r="C189">
        <v>1</v>
      </c>
      <c r="D189" t="s">
        <v>206</v>
      </c>
      <c r="E189" t="s">
        <v>317</v>
      </c>
      <c r="F189">
        <v>0.5</v>
      </c>
      <c r="G189">
        <v>551</v>
      </c>
      <c r="H189">
        <v>275.5</v>
      </c>
    </row>
    <row r="190" spans="1:8" x14ac:dyDescent="0.25">
      <c r="A190" t="s">
        <v>8</v>
      </c>
      <c r="B190" t="s">
        <v>88</v>
      </c>
      <c r="C190">
        <v>1</v>
      </c>
      <c r="D190" t="s">
        <v>257</v>
      </c>
      <c r="E190" t="s">
        <v>368</v>
      </c>
      <c r="F190">
        <v>0.05</v>
      </c>
      <c r="G190">
        <v>869</v>
      </c>
      <c r="H190">
        <v>43.45</v>
      </c>
    </row>
    <row r="191" spans="1:8" x14ac:dyDescent="0.25">
      <c r="A191" t="s">
        <v>8</v>
      </c>
      <c r="B191" t="s">
        <v>89</v>
      </c>
      <c r="C191">
        <v>1</v>
      </c>
      <c r="D191" t="s">
        <v>258</v>
      </c>
      <c r="E191" t="s">
        <v>369</v>
      </c>
      <c r="F191">
        <v>0.02</v>
      </c>
      <c r="G191">
        <v>2533</v>
      </c>
      <c r="H191">
        <v>50.66</v>
      </c>
    </row>
    <row r="192" spans="1:8" x14ac:dyDescent="0.25">
      <c r="A192" t="s">
        <v>8</v>
      </c>
      <c r="B192" t="s">
        <v>89</v>
      </c>
      <c r="C192">
        <v>1</v>
      </c>
      <c r="D192" t="s">
        <v>259</v>
      </c>
      <c r="E192" t="s">
        <v>370</v>
      </c>
      <c r="F192">
        <v>1</v>
      </c>
      <c r="G192">
        <v>45</v>
      </c>
      <c r="H192">
        <v>45</v>
      </c>
    </row>
    <row r="193" spans="1:8" x14ac:dyDescent="0.25">
      <c r="A193" t="s">
        <v>8</v>
      </c>
      <c r="B193" t="s">
        <v>90</v>
      </c>
      <c r="C193">
        <v>1</v>
      </c>
      <c r="D193" t="s">
        <v>206</v>
      </c>
      <c r="E193" t="s">
        <v>317</v>
      </c>
      <c r="F193">
        <v>0.5</v>
      </c>
      <c r="G193">
        <v>551</v>
      </c>
      <c r="H193">
        <v>275.5</v>
      </c>
    </row>
    <row r="194" spans="1:8" x14ac:dyDescent="0.25">
      <c r="A194" t="s">
        <v>8</v>
      </c>
      <c r="B194" t="s">
        <v>90</v>
      </c>
      <c r="C194">
        <v>1</v>
      </c>
      <c r="D194" t="s">
        <v>205</v>
      </c>
      <c r="E194" t="s">
        <v>316</v>
      </c>
      <c r="F194">
        <v>0.5</v>
      </c>
      <c r="G194">
        <v>850</v>
      </c>
      <c r="H194">
        <v>425</v>
      </c>
    </row>
    <row r="195" spans="1:8" x14ac:dyDescent="0.25">
      <c r="A195" t="s">
        <v>8</v>
      </c>
      <c r="B195" t="s">
        <v>90</v>
      </c>
      <c r="C195">
        <v>1</v>
      </c>
      <c r="D195" t="s">
        <v>207</v>
      </c>
      <c r="E195" t="s">
        <v>318</v>
      </c>
      <c r="F195">
        <v>0.5</v>
      </c>
      <c r="G195">
        <v>869</v>
      </c>
      <c r="H195">
        <v>434.5</v>
      </c>
    </row>
    <row r="196" spans="1:8" x14ac:dyDescent="0.25">
      <c r="A196" t="s">
        <v>8</v>
      </c>
      <c r="B196" t="s">
        <v>91</v>
      </c>
      <c r="C196">
        <v>1</v>
      </c>
      <c r="D196" t="s">
        <v>205</v>
      </c>
      <c r="E196" t="s">
        <v>316</v>
      </c>
      <c r="F196">
        <v>0.5</v>
      </c>
      <c r="G196">
        <v>850</v>
      </c>
      <c r="H196">
        <v>425</v>
      </c>
    </row>
    <row r="197" spans="1:8" x14ac:dyDescent="0.25">
      <c r="A197" t="s">
        <v>8</v>
      </c>
      <c r="B197" t="s">
        <v>91</v>
      </c>
      <c r="C197">
        <v>1</v>
      </c>
      <c r="D197" t="s">
        <v>206</v>
      </c>
      <c r="E197" t="s">
        <v>317</v>
      </c>
      <c r="F197">
        <v>0.5</v>
      </c>
      <c r="G197">
        <v>551</v>
      </c>
      <c r="H197">
        <v>275.5</v>
      </c>
    </row>
    <row r="198" spans="1:8" x14ac:dyDescent="0.25">
      <c r="A198" t="s">
        <v>8</v>
      </c>
      <c r="B198" t="s">
        <v>91</v>
      </c>
      <c r="C198">
        <v>1</v>
      </c>
      <c r="D198" t="s">
        <v>260</v>
      </c>
      <c r="E198" t="s">
        <v>371</v>
      </c>
      <c r="F198">
        <v>0.1</v>
      </c>
      <c r="G198">
        <v>306</v>
      </c>
      <c r="H198">
        <v>30.6</v>
      </c>
    </row>
    <row r="199" spans="1:8" x14ac:dyDescent="0.25">
      <c r="A199" t="s">
        <v>8</v>
      </c>
      <c r="B199" t="s">
        <v>91</v>
      </c>
      <c r="C199">
        <v>1</v>
      </c>
      <c r="D199" t="s">
        <v>261</v>
      </c>
      <c r="E199" t="s">
        <v>372</v>
      </c>
      <c r="F199">
        <v>0.1</v>
      </c>
      <c r="G199">
        <v>306</v>
      </c>
      <c r="H199">
        <v>30.6</v>
      </c>
    </row>
    <row r="200" spans="1:8" x14ac:dyDescent="0.25">
      <c r="A200" t="s">
        <v>8</v>
      </c>
      <c r="B200" t="s">
        <v>91</v>
      </c>
      <c r="C200">
        <v>1</v>
      </c>
      <c r="D200" t="s">
        <v>262</v>
      </c>
      <c r="E200" t="s">
        <v>373</v>
      </c>
      <c r="F200">
        <v>0.1</v>
      </c>
      <c r="G200">
        <v>306</v>
      </c>
      <c r="H200">
        <v>30.6</v>
      </c>
    </row>
    <row r="201" spans="1:8" x14ac:dyDescent="0.25">
      <c r="A201" t="s">
        <v>8</v>
      </c>
      <c r="B201" t="s">
        <v>91</v>
      </c>
      <c r="C201">
        <v>1</v>
      </c>
      <c r="D201" t="s">
        <v>263</v>
      </c>
      <c r="E201" t="s">
        <v>374</v>
      </c>
      <c r="F201">
        <v>0.1</v>
      </c>
      <c r="G201">
        <v>182</v>
      </c>
      <c r="H201">
        <v>18.2</v>
      </c>
    </row>
    <row r="202" spans="1:8" x14ac:dyDescent="0.25">
      <c r="A202" t="s">
        <v>8</v>
      </c>
      <c r="B202" t="s">
        <v>91</v>
      </c>
      <c r="C202">
        <v>1</v>
      </c>
      <c r="D202" t="s">
        <v>264</v>
      </c>
      <c r="E202" t="s">
        <v>375</v>
      </c>
      <c r="F202">
        <v>0.1</v>
      </c>
      <c r="G202">
        <v>182</v>
      </c>
      <c r="H202">
        <v>18.2</v>
      </c>
    </row>
    <row r="203" spans="1:8" x14ac:dyDescent="0.25">
      <c r="A203" t="s">
        <v>8</v>
      </c>
      <c r="B203" t="s">
        <v>91</v>
      </c>
      <c r="C203">
        <v>1</v>
      </c>
      <c r="D203" t="s">
        <v>265</v>
      </c>
      <c r="E203" t="s">
        <v>376</v>
      </c>
      <c r="F203">
        <v>0.1</v>
      </c>
      <c r="G203">
        <v>182</v>
      </c>
      <c r="H203">
        <v>18.2</v>
      </c>
    </row>
    <row r="204" spans="1:8" x14ac:dyDescent="0.25">
      <c r="A204" t="s">
        <v>8</v>
      </c>
      <c r="B204" t="s">
        <v>91</v>
      </c>
      <c r="C204">
        <v>2</v>
      </c>
      <c r="D204" t="s">
        <v>266</v>
      </c>
      <c r="E204" t="s">
        <v>377</v>
      </c>
      <c r="F204">
        <v>0.1</v>
      </c>
      <c r="G204">
        <v>182</v>
      </c>
      <c r="H204">
        <v>18.2</v>
      </c>
    </row>
    <row r="205" spans="1:8" x14ac:dyDescent="0.25">
      <c r="A205" t="s">
        <v>8</v>
      </c>
      <c r="B205" t="s">
        <v>91</v>
      </c>
      <c r="C205">
        <v>2</v>
      </c>
      <c r="D205" t="s">
        <v>267</v>
      </c>
      <c r="E205" t="s">
        <v>378</v>
      </c>
      <c r="F205">
        <v>0.1</v>
      </c>
      <c r="G205">
        <v>182</v>
      </c>
      <c r="H205">
        <v>18.2</v>
      </c>
    </row>
    <row r="206" spans="1:8" x14ac:dyDescent="0.25">
      <c r="A206" t="s">
        <v>8</v>
      </c>
      <c r="B206" t="s">
        <v>91</v>
      </c>
      <c r="C206">
        <v>2</v>
      </c>
      <c r="D206" t="s">
        <v>268</v>
      </c>
      <c r="E206" t="s">
        <v>379</v>
      </c>
      <c r="F206">
        <v>0.1</v>
      </c>
      <c r="G206">
        <v>686</v>
      </c>
      <c r="H206">
        <v>68.599999999999994</v>
      </c>
    </row>
    <row r="207" spans="1:8" x14ac:dyDescent="0.25">
      <c r="A207" t="s">
        <v>8</v>
      </c>
      <c r="B207" t="s">
        <v>91</v>
      </c>
      <c r="C207">
        <v>2</v>
      </c>
      <c r="D207" t="s">
        <v>269</v>
      </c>
      <c r="E207" t="s">
        <v>380</v>
      </c>
      <c r="F207">
        <v>0.1</v>
      </c>
      <c r="G207">
        <v>686</v>
      </c>
      <c r="H207">
        <v>68.599999999999994</v>
      </c>
    </row>
    <row r="208" spans="1:8" x14ac:dyDescent="0.25">
      <c r="A208" t="s">
        <v>8</v>
      </c>
      <c r="B208" t="s">
        <v>91</v>
      </c>
      <c r="C208">
        <v>2</v>
      </c>
      <c r="D208" t="s">
        <v>270</v>
      </c>
      <c r="E208" t="s">
        <v>381</v>
      </c>
      <c r="F208">
        <v>0.1</v>
      </c>
      <c r="G208">
        <v>686</v>
      </c>
      <c r="H208">
        <v>68.599999999999994</v>
      </c>
    </row>
    <row r="209" spans="1:8" x14ac:dyDescent="0.25">
      <c r="A209" t="s">
        <v>8</v>
      </c>
      <c r="B209" t="s">
        <v>92</v>
      </c>
      <c r="C209">
        <v>1</v>
      </c>
      <c r="D209" t="s">
        <v>205</v>
      </c>
      <c r="E209" t="s">
        <v>316</v>
      </c>
      <c r="F209">
        <v>2</v>
      </c>
      <c r="G209">
        <v>850</v>
      </c>
      <c r="H209">
        <v>1700</v>
      </c>
    </row>
    <row r="210" spans="1:8" x14ac:dyDescent="0.25">
      <c r="A210" t="s">
        <v>8</v>
      </c>
      <c r="B210" t="s">
        <v>93</v>
      </c>
      <c r="C210">
        <v>1</v>
      </c>
      <c r="D210" t="s">
        <v>207</v>
      </c>
      <c r="E210" t="s">
        <v>318</v>
      </c>
      <c r="F210">
        <v>0.5</v>
      </c>
      <c r="G210">
        <v>869</v>
      </c>
      <c r="H210">
        <v>434.5</v>
      </c>
    </row>
    <row r="211" spans="1:8" x14ac:dyDescent="0.25">
      <c r="A211" t="s">
        <v>8</v>
      </c>
      <c r="B211" t="s">
        <v>93</v>
      </c>
      <c r="C211">
        <v>1</v>
      </c>
      <c r="D211" t="s">
        <v>205</v>
      </c>
      <c r="E211" t="s">
        <v>316</v>
      </c>
      <c r="F211">
        <v>0.5</v>
      </c>
      <c r="G211">
        <v>850</v>
      </c>
      <c r="H211">
        <v>425</v>
      </c>
    </row>
    <row r="212" spans="1:8" x14ac:dyDescent="0.25">
      <c r="A212" t="s">
        <v>8</v>
      </c>
      <c r="B212" t="s">
        <v>94</v>
      </c>
      <c r="C212">
        <v>1</v>
      </c>
      <c r="D212" t="s">
        <v>206</v>
      </c>
      <c r="E212" t="s">
        <v>317</v>
      </c>
      <c r="F212">
        <v>1</v>
      </c>
      <c r="G212">
        <v>551</v>
      </c>
      <c r="H212">
        <v>551</v>
      </c>
    </row>
    <row r="213" spans="1:8" x14ac:dyDescent="0.25">
      <c r="A213" t="s">
        <v>8</v>
      </c>
      <c r="B213" t="s">
        <v>94</v>
      </c>
      <c r="C213">
        <v>1</v>
      </c>
      <c r="D213" t="s">
        <v>205</v>
      </c>
      <c r="E213" t="s">
        <v>316</v>
      </c>
      <c r="F213">
        <v>1</v>
      </c>
      <c r="G213">
        <v>850</v>
      </c>
      <c r="H213">
        <v>850</v>
      </c>
    </row>
    <row r="214" spans="1:8" x14ac:dyDescent="0.25">
      <c r="A214" t="s">
        <v>8</v>
      </c>
      <c r="B214" t="s">
        <v>95</v>
      </c>
      <c r="C214">
        <v>1</v>
      </c>
      <c r="D214" t="s">
        <v>271</v>
      </c>
      <c r="E214" t="s">
        <v>382</v>
      </c>
      <c r="F214">
        <v>8.5000000000000006E-2</v>
      </c>
      <c r="G214">
        <v>14125</v>
      </c>
      <c r="H214">
        <v>1200.6300000000001</v>
      </c>
    </row>
    <row r="215" spans="1:8" x14ac:dyDescent="0.25">
      <c r="A215" t="s">
        <v>8</v>
      </c>
      <c r="B215" t="s">
        <v>95</v>
      </c>
      <c r="C215">
        <v>1</v>
      </c>
      <c r="D215" t="s">
        <v>271</v>
      </c>
      <c r="E215" t="s">
        <v>382</v>
      </c>
      <c r="F215">
        <v>7.4999999999999997E-2</v>
      </c>
      <c r="G215">
        <v>14125</v>
      </c>
      <c r="H215">
        <v>1059.3800000000001</v>
      </c>
    </row>
    <row r="216" spans="1:8" x14ac:dyDescent="0.25">
      <c r="A216" t="s">
        <v>8</v>
      </c>
      <c r="B216" t="s">
        <v>95</v>
      </c>
      <c r="C216">
        <v>1</v>
      </c>
      <c r="D216" t="s">
        <v>271</v>
      </c>
      <c r="E216" t="s">
        <v>382</v>
      </c>
      <c r="F216">
        <v>0.08</v>
      </c>
      <c r="G216">
        <v>14125</v>
      </c>
      <c r="H216">
        <v>1130</v>
      </c>
    </row>
    <row r="217" spans="1:8" x14ac:dyDescent="0.25">
      <c r="A217" t="s">
        <v>8</v>
      </c>
      <c r="B217" t="s">
        <v>95</v>
      </c>
      <c r="C217">
        <v>1</v>
      </c>
      <c r="D217" t="s">
        <v>271</v>
      </c>
      <c r="E217" t="s">
        <v>382</v>
      </c>
      <c r="F217">
        <v>3.5000000000000003E-2</v>
      </c>
      <c r="G217">
        <v>14125</v>
      </c>
      <c r="H217">
        <v>494.38</v>
      </c>
    </row>
    <row r="218" spans="1:8" x14ac:dyDescent="0.25">
      <c r="A218" t="s">
        <v>8</v>
      </c>
      <c r="B218" t="s">
        <v>95</v>
      </c>
      <c r="C218">
        <v>1</v>
      </c>
      <c r="D218" t="s">
        <v>271</v>
      </c>
      <c r="E218" t="s">
        <v>382</v>
      </c>
      <c r="F218">
        <v>0.05</v>
      </c>
      <c r="G218">
        <v>14125</v>
      </c>
      <c r="H218">
        <v>706.25</v>
      </c>
    </row>
    <row r="219" spans="1:8" x14ac:dyDescent="0.25">
      <c r="A219" t="s">
        <v>8</v>
      </c>
      <c r="B219" t="s">
        <v>95</v>
      </c>
      <c r="C219">
        <v>1</v>
      </c>
      <c r="D219" t="s">
        <v>271</v>
      </c>
      <c r="E219" t="s">
        <v>382</v>
      </c>
      <c r="F219">
        <v>2.5000000000000001E-2</v>
      </c>
      <c r="G219">
        <v>14125</v>
      </c>
      <c r="H219">
        <v>353.13</v>
      </c>
    </row>
    <row r="220" spans="1:8" x14ac:dyDescent="0.25">
      <c r="A220" t="s">
        <v>8</v>
      </c>
      <c r="B220" t="s">
        <v>95</v>
      </c>
      <c r="C220">
        <v>1</v>
      </c>
      <c r="D220" t="s">
        <v>271</v>
      </c>
      <c r="E220" t="s">
        <v>382</v>
      </c>
      <c r="F220">
        <v>0.05</v>
      </c>
      <c r="G220">
        <v>14125</v>
      </c>
      <c r="H220">
        <v>706.25</v>
      </c>
    </row>
    <row r="221" spans="1:8" x14ac:dyDescent="0.25">
      <c r="A221" t="s">
        <v>8</v>
      </c>
      <c r="B221" t="s">
        <v>95</v>
      </c>
      <c r="C221">
        <v>1</v>
      </c>
      <c r="D221" t="s">
        <v>271</v>
      </c>
      <c r="E221" t="s">
        <v>382</v>
      </c>
      <c r="F221">
        <v>0.04</v>
      </c>
      <c r="G221">
        <v>14125</v>
      </c>
      <c r="H221">
        <v>565</v>
      </c>
    </row>
    <row r="222" spans="1:8" x14ac:dyDescent="0.25">
      <c r="A222" t="s">
        <v>8</v>
      </c>
      <c r="B222" t="s">
        <v>95</v>
      </c>
      <c r="C222">
        <v>2</v>
      </c>
      <c r="D222" t="s">
        <v>271</v>
      </c>
      <c r="E222" t="s">
        <v>382</v>
      </c>
      <c r="F222">
        <v>3.5000000000000003E-2</v>
      </c>
      <c r="G222">
        <v>14125</v>
      </c>
      <c r="H222">
        <v>494.38</v>
      </c>
    </row>
    <row r="223" spans="1:8" x14ac:dyDescent="0.25">
      <c r="A223" t="s">
        <v>8</v>
      </c>
      <c r="B223" t="s">
        <v>95</v>
      </c>
      <c r="C223">
        <v>2</v>
      </c>
      <c r="D223" t="s">
        <v>271</v>
      </c>
      <c r="E223" t="s">
        <v>382</v>
      </c>
      <c r="F223">
        <v>1.4999999999999999E-2</v>
      </c>
      <c r="G223">
        <v>14125</v>
      </c>
      <c r="H223">
        <v>211.88</v>
      </c>
    </row>
    <row r="224" spans="1:8" x14ac:dyDescent="0.25">
      <c r="A224" t="s">
        <v>8</v>
      </c>
      <c r="B224" t="s">
        <v>96</v>
      </c>
      <c r="C224">
        <v>1</v>
      </c>
      <c r="D224" t="s">
        <v>229</v>
      </c>
      <c r="E224" t="s">
        <v>340</v>
      </c>
      <c r="F224">
        <v>0.6</v>
      </c>
      <c r="G224">
        <v>562</v>
      </c>
      <c r="H224">
        <v>337.2</v>
      </c>
    </row>
    <row r="225" spans="1:8" x14ac:dyDescent="0.25">
      <c r="A225" t="s">
        <v>8</v>
      </c>
      <c r="B225" t="s">
        <v>96</v>
      </c>
      <c r="C225">
        <v>1</v>
      </c>
      <c r="D225" t="s">
        <v>206</v>
      </c>
      <c r="E225" t="s">
        <v>383</v>
      </c>
      <c r="F225">
        <v>0.5</v>
      </c>
      <c r="G225">
        <v>562</v>
      </c>
      <c r="H225">
        <v>281</v>
      </c>
    </row>
    <row r="226" spans="1:8" x14ac:dyDescent="0.25">
      <c r="A226" t="s">
        <v>8</v>
      </c>
      <c r="B226" t="s">
        <v>97</v>
      </c>
      <c r="C226">
        <v>1</v>
      </c>
      <c r="D226" t="s">
        <v>207</v>
      </c>
      <c r="E226" t="s">
        <v>318</v>
      </c>
      <c r="F226">
        <v>0.5</v>
      </c>
      <c r="G226">
        <v>887</v>
      </c>
      <c r="H226">
        <v>443.5</v>
      </c>
    </row>
    <row r="227" spans="1:8" x14ac:dyDescent="0.25">
      <c r="A227" t="s">
        <v>8</v>
      </c>
      <c r="B227" t="s">
        <v>98</v>
      </c>
      <c r="C227">
        <v>1</v>
      </c>
      <c r="D227" t="s">
        <v>205</v>
      </c>
      <c r="E227" t="s">
        <v>316</v>
      </c>
      <c r="F227">
        <v>2.5</v>
      </c>
      <c r="G227">
        <v>868</v>
      </c>
      <c r="H227">
        <v>2170</v>
      </c>
    </row>
    <row r="228" spans="1:8" x14ac:dyDescent="0.25">
      <c r="A228" t="s">
        <v>8</v>
      </c>
      <c r="B228" t="s">
        <v>99</v>
      </c>
      <c r="C228">
        <v>1</v>
      </c>
      <c r="D228" t="s">
        <v>229</v>
      </c>
      <c r="E228" t="s">
        <v>340</v>
      </c>
      <c r="F228">
        <v>0.1</v>
      </c>
      <c r="G228">
        <v>562</v>
      </c>
      <c r="H228">
        <v>56.2</v>
      </c>
    </row>
    <row r="229" spans="1:8" x14ac:dyDescent="0.25">
      <c r="A229" t="s">
        <v>8</v>
      </c>
      <c r="B229" t="s">
        <v>99</v>
      </c>
      <c r="C229">
        <v>1</v>
      </c>
      <c r="D229" t="s">
        <v>272</v>
      </c>
      <c r="E229" t="s">
        <v>384</v>
      </c>
      <c r="F229">
        <v>0.05</v>
      </c>
      <c r="G229">
        <v>562</v>
      </c>
      <c r="H229">
        <v>28.1</v>
      </c>
    </row>
    <row r="230" spans="1:8" x14ac:dyDescent="0.25">
      <c r="A230" t="s">
        <v>8</v>
      </c>
      <c r="B230" t="s">
        <v>99</v>
      </c>
      <c r="C230">
        <v>1</v>
      </c>
      <c r="D230" t="s">
        <v>230</v>
      </c>
      <c r="E230" t="s">
        <v>341</v>
      </c>
      <c r="F230">
        <v>0.2</v>
      </c>
      <c r="G230">
        <v>868</v>
      </c>
      <c r="H230">
        <v>173.6</v>
      </c>
    </row>
    <row r="231" spans="1:8" x14ac:dyDescent="0.25">
      <c r="A231" t="s">
        <v>8</v>
      </c>
      <c r="B231" t="s">
        <v>99</v>
      </c>
      <c r="C231">
        <v>1</v>
      </c>
      <c r="D231" t="s">
        <v>273</v>
      </c>
      <c r="E231" t="s">
        <v>385</v>
      </c>
      <c r="F231">
        <v>0.05</v>
      </c>
      <c r="G231">
        <v>1418</v>
      </c>
      <c r="H231">
        <v>70.900000000000006</v>
      </c>
    </row>
    <row r="232" spans="1:8" x14ac:dyDescent="0.25">
      <c r="A232" t="s">
        <v>8</v>
      </c>
      <c r="B232" t="s">
        <v>100</v>
      </c>
      <c r="C232">
        <v>1</v>
      </c>
      <c r="D232" t="s">
        <v>252</v>
      </c>
      <c r="E232" t="s">
        <v>363</v>
      </c>
      <c r="F232">
        <v>1</v>
      </c>
      <c r="G232">
        <v>457</v>
      </c>
      <c r="H232">
        <v>457</v>
      </c>
    </row>
    <row r="233" spans="1:8" x14ac:dyDescent="0.25">
      <c r="A233" t="s">
        <v>8</v>
      </c>
      <c r="B233" t="s">
        <v>101</v>
      </c>
      <c r="C233">
        <v>1</v>
      </c>
      <c r="D233" t="s">
        <v>205</v>
      </c>
      <c r="E233" t="s">
        <v>316</v>
      </c>
      <c r="F233">
        <v>2</v>
      </c>
      <c r="G233">
        <v>868</v>
      </c>
      <c r="H233">
        <v>1736</v>
      </c>
    </row>
    <row r="234" spans="1:8" x14ac:dyDescent="0.25">
      <c r="A234" t="s">
        <v>8</v>
      </c>
      <c r="B234" t="s">
        <v>102</v>
      </c>
      <c r="C234">
        <v>1</v>
      </c>
      <c r="D234" t="s">
        <v>205</v>
      </c>
      <c r="E234" t="s">
        <v>316</v>
      </c>
      <c r="F234">
        <v>1</v>
      </c>
      <c r="G234">
        <v>868</v>
      </c>
      <c r="H234">
        <v>868</v>
      </c>
    </row>
    <row r="235" spans="1:8" x14ac:dyDescent="0.25">
      <c r="A235" t="s">
        <v>8</v>
      </c>
      <c r="B235" t="s">
        <v>102</v>
      </c>
      <c r="C235">
        <v>1</v>
      </c>
      <c r="D235" t="s">
        <v>207</v>
      </c>
      <c r="E235" t="s">
        <v>318</v>
      </c>
      <c r="F235">
        <v>0.5</v>
      </c>
      <c r="G235">
        <v>887</v>
      </c>
      <c r="H235">
        <v>443.5</v>
      </c>
    </row>
    <row r="236" spans="1:8" x14ac:dyDescent="0.25">
      <c r="A236" t="s">
        <v>8</v>
      </c>
      <c r="B236" t="s">
        <v>102</v>
      </c>
      <c r="C236">
        <v>1</v>
      </c>
      <c r="D236" t="s">
        <v>206</v>
      </c>
      <c r="E236" t="s">
        <v>317</v>
      </c>
      <c r="F236">
        <v>0.5</v>
      </c>
      <c r="G236">
        <v>562</v>
      </c>
      <c r="H236">
        <v>281</v>
      </c>
    </row>
    <row r="237" spans="1:8" x14ac:dyDescent="0.25">
      <c r="A237" t="s">
        <v>8</v>
      </c>
      <c r="B237" t="s">
        <v>103</v>
      </c>
      <c r="C237">
        <v>1</v>
      </c>
      <c r="D237" t="s">
        <v>205</v>
      </c>
      <c r="E237" t="s">
        <v>316</v>
      </c>
      <c r="F237">
        <v>2.5</v>
      </c>
      <c r="G237">
        <v>868</v>
      </c>
      <c r="H237">
        <v>2170</v>
      </c>
    </row>
    <row r="238" spans="1:8" x14ac:dyDescent="0.25">
      <c r="A238" t="s">
        <v>8</v>
      </c>
      <c r="B238" t="s">
        <v>103</v>
      </c>
      <c r="C238">
        <v>1</v>
      </c>
      <c r="D238" t="s">
        <v>207</v>
      </c>
      <c r="E238" t="s">
        <v>318</v>
      </c>
      <c r="F238">
        <v>1</v>
      </c>
      <c r="G238">
        <v>887</v>
      </c>
      <c r="H238">
        <v>887</v>
      </c>
    </row>
    <row r="239" spans="1:8" x14ac:dyDescent="0.25">
      <c r="A239" t="s">
        <v>8</v>
      </c>
      <c r="B239" t="s">
        <v>104</v>
      </c>
      <c r="C239">
        <v>1</v>
      </c>
      <c r="D239" t="s">
        <v>206</v>
      </c>
      <c r="E239" t="s">
        <v>317</v>
      </c>
      <c r="F239">
        <v>0.5</v>
      </c>
      <c r="G239">
        <v>562</v>
      </c>
      <c r="H239">
        <v>281</v>
      </c>
    </row>
    <row r="240" spans="1:8" x14ac:dyDescent="0.25">
      <c r="A240" t="s">
        <v>8</v>
      </c>
      <c r="B240" t="s">
        <v>104</v>
      </c>
      <c r="C240">
        <v>1</v>
      </c>
      <c r="D240" t="s">
        <v>205</v>
      </c>
      <c r="E240" t="s">
        <v>316</v>
      </c>
      <c r="F240">
        <v>0.5</v>
      </c>
      <c r="G240">
        <v>868</v>
      </c>
      <c r="H240">
        <v>434</v>
      </c>
    </row>
    <row r="241" spans="1:8" x14ac:dyDescent="0.25">
      <c r="A241" t="s">
        <v>8</v>
      </c>
      <c r="B241" t="s">
        <v>105</v>
      </c>
      <c r="C241">
        <v>1</v>
      </c>
      <c r="D241" t="s">
        <v>206</v>
      </c>
      <c r="E241" t="s">
        <v>317</v>
      </c>
      <c r="F241">
        <v>1</v>
      </c>
      <c r="G241">
        <v>562</v>
      </c>
      <c r="H241">
        <v>562</v>
      </c>
    </row>
    <row r="242" spans="1:8" x14ac:dyDescent="0.25">
      <c r="A242" t="s">
        <v>8</v>
      </c>
      <c r="B242" t="s">
        <v>105</v>
      </c>
      <c r="C242">
        <v>1</v>
      </c>
      <c r="D242" t="s">
        <v>205</v>
      </c>
      <c r="E242" t="s">
        <v>316</v>
      </c>
      <c r="F242">
        <v>1.5</v>
      </c>
      <c r="G242">
        <v>868</v>
      </c>
      <c r="H242">
        <v>1302</v>
      </c>
    </row>
    <row r="243" spans="1:8" x14ac:dyDescent="0.25">
      <c r="A243" t="s">
        <v>8</v>
      </c>
      <c r="B243" t="s">
        <v>105</v>
      </c>
      <c r="C243">
        <v>1</v>
      </c>
      <c r="D243" t="s">
        <v>227</v>
      </c>
      <c r="E243" t="s">
        <v>338</v>
      </c>
      <c r="F243">
        <v>0.5</v>
      </c>
      <c r="G243">
        <v>1418</v>
      </c>
      <c r="H243">
        <v>709</v>
      </c>
    </row>
    <row r="244" spans="1:8" x14ac:dyDescent="0.25">
      <c r="A244" t="s">
        <v>8</v>
      </c>
      <c r="B244" t="s">
        <v>106</v>
      </c>
      <c r="C244">
        <v>1</v>
      </c>
      <c r="D244" t="s">
        <v>206</v>
      </c>
      <c r="E244" t="s">
        <v>317</v>
      </c>
      <c r="F244">
        <v>1</v>
      </c>
      <c r="G244">
        <v>562</v>
      </c>
      <c r="H244">
        <v>562</v>
      </c>
    </row>
    <row r="245" spans="1:8" x14ac:dyDescent="0.25">
      <c r="A245" t="s">
        <v>8</v>
      </c>
      <c r="B245" t="s">
        <v>106</v>
      </c>
      <c r="C245">
        <v>1</v>
      </c>
      <c r="D245" t="s">
        <v>205</v>
      </c>
      <c r="E245" t="s">
        <v>316</v>
      </c>
      <c r="F245">
        <v>1.5</v>
      </c>
      <c r="G245">
        <v>868</v>
      </c>
      <c r="H245">
        <v>1302</v>
      </c>
    </row>
    <row r="246" spans="1:8" x14ac:dyDescent="0.25">
      <c r="A246" t="s">
        <v>8</v>
      </c>
      <c r="B246" t="s">
        <v>106</v>
      </c>
      <c r="C246">
        <v>1</v>
      </c>
      <c r="D246" t="s">
        <v>227</v>
      </c>
      <c r="E246" t="s">
        <v>338</v>
      </c>
      <c r="F246">
        <v>0.5</v>
      </c>
      <c r="G246">
        <v>1418</v>
      </c>
      <c r="H246">
        <v>709</v>
      </c>
    </row>
    <row r="247" spans="1:8" x14ac:dyDescent="0.25">
      <c r="A247" t="s">
        <v>8</v>
      </c>
      <c r="B247" t="s">
        <v>107</v>
      </c>
      <c r="C247">
        <v>1</v>
      </c>
      <c r="D247" t="s">
        <v>205</v>
      </c>
      <c r="E247" t="s">
        <v>316</v>
      </c>
      <c r="F247">
        <v>0.5</v>
      </c>
      <c r="G247">
        <v>868</v>
      </c>
      <c r="H247">
        <v>434</v>
      </c>
    </row>
    <row r="248" spans="1:8" x14ac:dyDescent="0.25">
      <c r="A248" t="s">
        <v>8</v>
      </c>
      <c r="B248" t="s">
        <v>107</v>
      </c>
      <c r="C248">
        <v>1</v>
      </c>
      <c r="D248" t="s">
        <v>205</v>
      </c>
      <c r="E248" t="s">
        <v>316</v>
      </c>
      <c r="F248">
        <v>0.5</v>
      </c>
      <c r="G248">
        <v>868</v>
      </c>
      <c r="H248">
        <v>434</v>
      </c>
    </row>
    <row r="249" spans="1:8" x14ac:dyDescent="0.25">
      <c r="A249" t="s">
        <v>8</v>
      </c>
      <c r="B249" t="s">
        <v>107</v>
      </c>
      <c r="C249">
        <v>1</v>
      </c>
      <c r="D249" t="s">
        <v>205</v>
      </c>
      <c r="E249" t="s">
        <v>316</v>
      </c>
      <c r="F249">
        <v>0.5</v>
      </c>
      <c r="G249">
        <v>868</v>
      </c>
      <c r="H249">
        <v>434</v>
      </c>
    </row>
    <row r="250" spans="1:8" x14ac:dyDescent="0.25">
      <c r="A250" t="s">
        <v>8</v>
      </c>
      <c r="B250" t="s">
        <v>107</v>
      </c>
      <c r="C250">
        <v>1</v>
      </c>
      <c r="D250" t="s">
        <v>205</v>
      </c>
      <c r="E250" t="s">
        <v>316</v>
      </c>
      <c r="F250">
        <v>0.5</v>
      </c>
      <c r="G250">
        <v>868</v>
      </c>
      <c r="H250">
        <v>434</v>
      </c>
    </row>
    <row r="251" spans="1:8" x14ac:dyDescent="0.25">
      <c r="A251" t="s">
        <v>8</v>
      </c>
      <c r="B251" t="s">
        <v>107</v>
      </c>
      <c r="C251">
        <v>1</v>
      </c>
      <c r="D251" t="s">
        <v>205</v>
      </c>
      <c r="E251" t="s">
        <v>316</v>
      </c>
      <c r="F251">
        <v>0.5</v>
      </c>
      <c r="G251">
        <v>868</v>
      </c>
      <c r="H251">
        <v>434</v>
      </c>
    </row>
    <row r="252" spans="1:8" x14ac:dyDescent="0.25">
      <c r="A252" t="s">
        <v>8</v>
      </c>
      <c r="B252" t="s">
        <v>107</v>
      </c>
      <c r="C252">
        <v>1</v>
      </c>
      <c r="D252" t="s">
        <v>207</v>
      </c>
      <c r="E252" t="s">
        <v>318</v>
      </c>
      <c r="F252">
        <v>0.5</v>
      </c>
      <c r="G252">
        <v>887</v>
      </c>
      <c r="H252">
        <v>443.5</v>
      </c>
    </row>
    <row r="253" spans="1:8" x14ac:dyDescent="0.25">
      <c r="A253" t="s">
        <v>8</v>
      </c>
      <c r="B253" t="s">
        <v>107</v>
      </c>
      <c r="C253">
        <v>1</v>
      </c>
      <c r="D253" t="s">
        <v>207</v>
      </c>
      <c r="E253" t="s">
        <v>318</v>
      </c>
      <c r="F253">
        <v>0.5</v>
      </c>
      <c r="G253">
        <v>887</v>
      </c>
      <c r="H253">
        <v>443.5</v>
      </c>
    </row>
    <row r="254" spans="1:8" x14ac:dyDescent="0.25">
      <c r="A254" t="s">
        <v>8</v>
      </c>
      <c r="B254" t="s">
        <v>108</v>
      </c>
      <c r="C254">
        <v>1</v>
      </c>
      <c r="D254" t="s">
        <v>207</v>
      </c>
      <c r="E254" t="s">
        <v>318</v>
      </c>
      <c r="F254">
        <v>1</v>
      </c>
      <c r="G254">
        <v>887</v>
      </c>
      <c r="H254">
        <v>887</v>
      </c>
    </row>
    <row r="255" spans="1:8" x14ac:dyDescent="0.25">
      <c r="A255" t="s">
        <v>8</v>
      </c>
      <c r="B255" t="s">
        <v>108</v>
      </c>
      <c r="C255">
        <v>1</v>
      </c>
      <c r="D255" t="s">
        <v>206</v>
      </c>
      <c r="E255" t="s">
        <v>317</v>
      </c>
      <c r="F255">
        <v>1</v>
      </c>
      <c r="G255">
        <v>562</v>
      </c>
      <c r="H255">
        <v>562</v>
      </c>
    </row>
    <row r="256" spans="1:8" x14ac:dyDescent="0.25">
      <c r="A256" t="s">
        <v>8</v>
      </c>
      <c r="B256" t="s">
        <v>108</v>
      </c>
      <c r="C256">
        <v>1</v>
      </c>
      <c r="D256" t="s">
        <v>205</v>
      </c>
      <c r="E256" t="s">
        <v>316</v>
      </c>
      <c r="F256">
        <v>0.5</v>
      </c>
      <c r="G256">
        <v>868</v>
      </c>
      <c r="H256">
        <v>434</v>
      </c>
    </row>
    <row r="257" spans="1:8" x14ac:dyDescent="0.25">
      <c r="A257" t="s">
        <v>8</v>
      </c>
      <c r="B257" t="s">
        <v>109</v>
      </c>
      <c r="C257">
        <v>1</v>
      </c>
      <c r="D257" t="s">
        <v>205</v>
      </c>
      <c r="E257" t="s">
        <v>316</v>
      </c>
      <c r="F257">
        <v>1.5</v>
      </c>
      <c r="G257">
        <v>868</v>
      </c>
      <c r="H257">
        <v>1302</v>
      </c>
    </row>
    <row r="258" spans="1:8" x14ac:dyDescent="0.25">
      <c r="A258" t="s">
        <v>8</v>
      </c>
      <c r="B258" t="s">
        <v>110</v>
      </c>
      <c r="C258">
        <v>1</v>
      </c>
      <c r="D258" t="s">
        <v>274</v>
      </c>
      <c r="E258" t="s">
        <v>386</v>
      </c>
      <c r="F258">
        <v>0.48</v>
      </c>
      <c r="G258">
        <v>1756.16</v>
      </c>
      <c r="H258">
        <v>842.96</v>
      </c>
    </row>
    <row r="259" spans="1:8" x14ac:dyDescent="0.25">
      <c r="A259" t="s">
        <v>8</v>
      </c>
      <c r="B259" t="s">
        <v>110</v>
      </c>
      <c r="C259">
        <v>1</v>
      </c>
      <c r="D259" t="s">
        <v>221</v>
      </c>
      <c r="E259" t="s">
        <v>332</v>
      </c>
      <c r="F259">
        <v>0.12</v>
      </c>
      <c r="G259">
        <v>4258.1000000000004</v>
      </c>
      <c r="H259">
        <v>510.97</v>
      </c>
    </row>
    <row r="260" spans="1:8" x14ac:dyDescent="0.25">
      <c r="A260" t="s">
        <v>8</v>
      </c>
      <c r="B260" t="s">
        <v>110</v>
      </c>
      <c r="C260">
        <v>1</v>
      </c>
      <c r="D260" t="s">
        <v>271</v>
      </c>
      <c r="E260" t="s">
        <v>382</v>
      </c>
      <c r="F260">
        <v>5.0000000000000001E-3</v>
      </c>
      <c r="G260">
        <v>14414</v>
      </c>
      <c r="H260">
        <v>72.069999999999993</v>
      </c>
    </row>
    <row r="261" spans="1:8" x14ac:dyDescent="0.25">
      <c r="A261" t="s">
        <v>8</v>
      </c>
      <c r="B261" t="s">
        <v>110</v>
      </c>
      <c r="C261">
        <v>1</v>
      </c>
      <c r="D261" t="s">
        <v>222</v>
      </c>
      <c r="E261" t="s">
        <v>333</v>
      </c>
      <c r="F261">
        <v>1.4999999999999999E-2</v>
      </c>
      <c r="G261">
        <v>8619</v>
      </c>
      <c r="H261">
        <v>129.29</v>
      </c>
    </row>
    <row r="262" spans="1:8" x14ac:dyDescent="0.25">
      <c r="A262" t="s">
        <v>8</v>
      </c>
      <c r="B262" t="s">
        <v>111</v>
      </c>
      <c r="C262">
        <v>1</v>
      </c>
      <c r="D262" t="s">
        <v>206</v>
      </c>
      <c r="E262" t="s">
        <v>317</v>
      </c>
      <c r="F262">
        <v>0.5</v>
      </c>
      <c r="G262">
        <v>562</v>
      </c>
      <c r="H262">
        <v>281</v>
      </c>
    </row>
    <row r="263" spans="1:8" x14ac:dyDescent="0.25">
      <c r="A263" t="s">
        <v>8</v>
      </c>
      <c r="B263" t="s">
        <v>111</v>
      </c>
      <c r="C263">
        <v>1</v>
      </c>
      <c r="D263" t="s">
        <v>207</v>
      </c>
      <c r="E263" t="s">
        <v>318</v>
      </c>
      <c r="F263">
        <v>0.5</v>
      </c>
      <c r="G263">
        <v>887</v>
      </c>
      <c r="H263">
        <v>443.5</v>
      </c>
    </row>
    <row r="264" spans="1:8" x14ac:dyDescent="0.25">
      <c r="A264" t="s">
        <v>8</v>
      </c>
      <c r="B264" t="s">
        <v>112</v>
      </c>
      <c r="C264">
        <v>1</v>
      </c>
      <c r="D264" t="s">
        <v>275</v>
      </c>
      <c r="E264" t="s">
        <v>387</v>
      </c>
      <c r="F264">
        <v>7.4999999999999997E-2</v>
      </c>
      <c r="G264">
        <v>7872</v>
      </c>
      <c r="H264">
        <v>590.4</v>
      </c>
    </row>
    <row r="265" spans="1:8" x14ac:dyDescent="0.25">
      <c r="A265" t="s">
        <v>8</v>
      </c>
      <c r="B265" t="s">
        <v>112</v>
      </c>
      <c r="C265">
        <v>1</v>
      </c>
      <c r="D265" t="s">
        <v>276</v>
      </c>
      <c r="E265" t="s">
        <v>388</v>
      </c>
      <c r="F265">
        <v>0.05</v>
      </c>
      <c r="G265">
        <v>11947</v>
      </c>
      <c r="H265">
        <v>597.35</v>
      </c>
    </row>
    <row r="266" spans="1:8" x14ac:dyDescent="0.25">
      <c r="A266" t="s">
        <v>8</v>
      </c>
      <c r="B266" t="s">
        <v>112</v>
      </c>
      <c r="C266">
        <v>1</v>
      </c>
      <c r="D266" t="s">
        <v>277</v>
      </c>
      <c r="E266" t="s">
        <v>389</v>
      </c>
      <c r="F266">
        <v>0.2</v>
      </c>
      <c r="G266">
        <v>626</v>
      </c>
      <c r="H266">
        <v>125.2</v>
      </c>
    </row>
    <row r="267" spans="1:8" x14ac:dyDescent="0.25">
      <c r="A267" t="s">
        <v>8</v>
      </c>
      <c r="B267" t="s">
        <v>112</v>
      </c>
      <c r="C267">
        <v>1</v>
      </c>
      <c r="D267" t="s">
        <v>278</v>
      </c>
      <c r="E267" t="s">
        <v>390</v>
      </c>
      <c r="F267">
        <v>0.1</v>
      </c>
      <c r="G267">
        <v>2090</v>
      </c>
      <c r="H267">
        <v>209</v>
      </c>
    </row>
    <row r="268" spans="1:8" x14ac:dyDescent="0.25">
      <c r="A268" t="s">
        <v>8</v>
      </c>
      <c r="B268" t="s">
        <v>113</v>
      </c>
      <c r="C268">
        <v>1</v>
      </c>
      <c r="D268" t="s">
        <v>206</v>
      </c>
      <c r="E268" t="s">
        <v>317</v>
      </c>
      <c r="F268">
        <v>1</v>
      </c>
      <c r="G268">
        <v>562</v>
      </c>
      <c r="H268">
        <v>562</v>
      </c>
    </row>
    <row r="269" spans="1:8" x14ac:dyDescent="0.25">
      <c r="A269" t="s">
        <v>8</v>
      </c>
      <c r="B269" t="s">
        <v>113</v>
      </c>
      <c r="C269">
        <v>1</v>
      </c>
      <c r="D269" t="s">
        <v>205</v>
      </c>
      <c r="E269" t="s">
        <v>316</v>
      </c>
      <c r="F269">
        <v>1</v>
      </c>
      <c r="G269">
        <v>868</v>
      </c>
      <c r="H269">
        <v>868</v>
      </c>
    </row>
    <row r="270" spans="1:8" x14ac:dyDescent="0.25">
      <c r="A270" t="s">
        <v>8</v>
      </c>
      <c r="B270" t="s">
        <v>113</v>
      </c>
      <c r="C270">
        <v>1</v>
      </c>
      <c r="D270" t="s">
        <v>207</v>
      </c>
      <c r="E270" t="s">
        <v>318</v>
      </c>
      <c r="F270">
        <v>0.5</v>
      </c>
      <c r="G270">
        <v>887</v>
      </c>
      <c r="H270">
        <v>443.5</v>
      </c>
    </row>
    <row r="271" spans="1:8" x14ac:dyDescent="0.25">
      <c r="A271" t="s">
        <v>8</v>
      </c>
      <c r="B271" t="s">
        <v>114</v>
      </c>
      <c r="C271">
        <v>1</v>
      </c>
      <c r="D271" t="s">
        <v>236</v>
      </c>
      <c r="E271" t="s">
        <v>347</v>
      </c>
      <c r="F271">
        <v>0.25</v>
      </c>
      <c r="G271">
        <v>19343</v>
      </c>
      <c r="H271">
        <v>4835.75</v>
      </c>
    </row>
    <row r="272" spans="1:8" x14ac:dyDescent="0.25">
      <c r="A272" t="s">
        <v>8</v>
      </c>
      <c r="B272" t="s">
        <v>115</v>
      </c>
      <c r="C272">
        <v>1</v>
      </c>
      <c r="D272" t="s">
        <v>279</v>
      </c>
      <c r="E272" t="s">
        <v>391</v>
      </c>
      <c r="F272">
        <v>0.1</v>
      </c>
      <c r="G272">
        <v>250</v>
      </c>
      <c r="H272">
        <v>25</v>
      </c>
    </row>
    <row r="273" spans="1:8" x14ac:dyDescent="0.25">
      <c r="A273" t="s">
        <v>8</v>
      </c>
      <c r="B273" t="s">
        <v>115</v>
      </c>
      <c r="C273">
        <v>1</v>
      </c>
      <c r="D273" t="s">
        <v>280</v>
      </c>
      <c r="E273" t="s">
        <v>392</v>
      </c>
      <c r="F273">
        <v>0.1</v>
      </c>
      <c r="G273">
        <v>250</v>
      </c>
      <c r="H273">
        <v>25</v>
      </c>
    </row>
    <row r="274" spans="1:8" x14ac:dyDescent="0.25">
      <c r="A274" t="s">
        <v>8</v>
      </c>
      <c r="B274" t="s">
        <v>115</v>
      </c>
      <c r="C274">
        <v>1</v>
      </c>
      <c r="D274" t="s">
        <v>281</v>
      </c>
      <c r="E274" t="s">
        <v>393</v>
      </c>
      <c r="F274">
        <v>0.1</v>
      </c>
      <c r="G274">
        <v>250</v>
      </c>
      <c r="H274">
        <v>25</v>
      </c>
    </row>
    <row r="275" spans="1:8" x14ac:dyDescent="0.25">
      <c r="A275" t="s">
        <v>8</v>
      </c>
      <c r="B275" t="s">
        <v>115</v>
      </c>
      <c r="C275">
        <v>1</v>
      </c>
      <c r="D275" t="s">
        <v>259</v>
      </c>
      <c r="E275" t="s">
        <v>370</v>
      </c>
      <c r="F275">
        <v>1</v>
      </c>
      <c r="G275">
        <v>45</v>
      </c>
      <c r="H275">
        <v>45</v>
      </c>
    </row>
    <row r="276" spans="1:8" x14ac:dyDescent="0.25">
      <c r="A276" t="s">
        <v>8</v>
      </c>
      <c r="B276" t="s">
        <v>116</v>
      </c>
      <c r="C276">
        <v>1</v>
      </c>
      <c r="D276" t="s">
        <v>206</v>
      </c>
      <c r="E276" t="s">
        <v>317</v>
      </c>
      <c r="F276">
        <v>0.5</v>
      </c>
      <c r="G276">
        <v>562</v>
      </c>
      <c r="H276">
        <v>281</v>
      </c>
    </row>
    <row r="277" spans="1:8" x14ac:dyDescent="0.25">
      <c r="A277" t="s">
        <v>8</v>
      </c>
      <c r="B277" t="s">
        <v>116</v>
      </c>
      <c r="C277">
        <v>1</v>
      </c>
      <c r="D277" t="s">
        <v>205</v>
      </c>
      <c r="E277" t="s">
        <v>316</v>
      </c>
      <c r="F277">
        <v>0.5</v>
      </c>
      <c r="G277">
        <v>868</v>
      </c>
      <c r="H277">
        <v>434</v>
      </c>
    </row>
    <row r="278" spans="1:8" x14ac:dyDescent="0.25">
      <c r="A278" t="s">
        <v>8</v>
      </c>
      <c r="B278" t="s">
        <v>117</v>
      </c>
      <c r="C278">
        <v>1</v>
      </c>
      <c r="D278" t="s">
        <v>282</v>
      </c>
      <c r="E278" t="s">
        <v>394</v>
      </c>
      <c r="F278">
        <v>0.4</v>
      </c>
      <c r="G278">
        <v>2769</v>
      </c>
      <c r="H278">
        <v>1107.5999999999999</v>
      </c>
    </row>
    <row r="279" spans="1:8" x14ac:dyDescent="0.25">
      <c r="A279" t="s">
        <v>8</v>
      </c>
      <c r="B279" t="s">
        <v>118</v>
      </c>
      <c r="C279">
        <v>1</v>
      </c>
      <c r="D279" t="s">
        <v>283</v>
      </c>
      <c r="E279" t="s">
        <v>395</v>
      </c>
      <c r="F279">
        <v>0.05</v>
      </c>
      <c r="G279">
        <v>4382</v>
      </c>
      <c r="H279">
        <v>219.1</v>
      </c>
    </row>
    <row r="280" spans="1:8" x14ac:dyDescent="0.25">
      <c r="A280" t="s">
        <v>8</v>
      </c>
      <c r="B280" t="s">
        <v>118</v>
      </c>
      <c r="C280">
        <v>1</v>
      </c>
      <c r="D280" t="s">
        <v>210</v>
      </c>
      <c r="E280" t="s">
        <v>321</v>
      </c>
      <c r="F280">
        <v>1.2E-2</v>
      </c>
      <c r="G280">
        <v>1366</v>
      </c>
      <c r="H280">
        <v>16.39</v>
      </c>
    </row>
    <row r="281" spans="1:8" x14ac:dyDescent="0.25">
      <c r="A281" t="s">
        <v>8</v>
      </c>
      <c r="B281" t="s">
        <v>118</v>
      </c>
      <c r="C281">
        <v>1</v>
      </c>
      <c r="D281" t="s">
        <v>284</v>
      </c>
      <c r="E281" t="s">
        <v>396</v>
      </c>
      <c r="F281">
        <v>2.5999999999999999E-2</v>
      </c>
      <c r="G281">
        <v>3595</v>
      </c>
      <c r="H281">
        <v>93.47</v>
      </c>
    </row>
    <row r="282" spans="1:8" x14ac:dyDescent="0.25">
      <c r="A282" t="s">
        <v>8</v>
      </c>
      <c r="B282" t="s">
        <v>118</v>
      </c>
      <c r="C282">
        <v>1</v>
      </c>
      <c r="D282" t="s">
        <v>222</v>
      </c>
      <c r="E282" t="s">
        <v>333</v>
      </c>
      <c r="F282">
        <v>2.5000000000000001E-2</v>
      </c>
      <c r="G282">
        <v>8619</v>
      </c>
      <c r="H282">
        <v>215.48</v>
      </c>
    </row>
    <row r="283" spans="1:8" x14ac:dyDescent="0.25">
      <c r="A283" t="s">
        <v>8</v>
      </c>
      <c r="B283" t="s">
        <v>119</v>
      </c>
      <c r="C283">
        <v>1</v>
      </c>
      <c r="D283" t="s">
        <v>285</v>
      </c>
      <c r="E283" t="s">
        <v>397</v>
      </c>
      <c r="F283">
        <v>7.0000000000000007E-2</v>
      </c>
      <c r="G283">
        <v>8150</v>
      </c>
      <c r="H283">
        <v>570.5</v>
      </c>
    </row>
    <row r="284" spans="1:8" x14ac:dyDescent="0.25">
      <c r="A284" t="s">
        <v>8</v>
      </c>
      <c r="B284" t="s">
        <v>120</v>
      </c>
      <c r="C284">
        <v>1</v>
      </c>
      <c r="D284" t="s">
        <v>206</v>
      </c>
      <c r="E284" t="s">
        <v>317</v>
      </c>
      <c r="F284">
        <v>1</v>
      </c>
      <c r="G284">
        <v>562</v>
      </c>
      <c r="H284">
        <v>562</v>
      </c>
    </row>
    <row r="285" spans="1:8" x14ac:dyDescent="0.25">
      <c r="A285" t="s">
        <v>8</v>
      </c>
      <c r="B285" t="s">
        <v>120</v>
      </c>
      <c r="C285">
        <v>1</v>
      </c>
      <c r="D285" t="s">
        <v>207</v>
      </c>
      <c r="E285" t="s">
        <v>318</v>
      </c>
      <c r="F285">
        <v>1</v>
      </c>
      <c r="G285">
        <v>887</v>
      </c>
      <c r="H285">
        <v>887</v>
      </c>
    </row>
    <row r="286" spans="1:8" x14ac:dyDescent="0.25">
      <c r="A286" t="s">
        <v>8</v>
      </c>
      <c r="B286" t="s">
        <v>121</v>
      </c>
      <c r="C286">
        <v>1</v>
      </c>
      <c r="D286" t="s">
        <v>217</v>
      </c>
      <c r="E286" t="s">
        <v>328</v>
      </c>
      <c r="F286">
        <v>0.32</v>
      </c>
      <c r="G286">
        <v>5822</v>
      </c>
      <c r="H286">
        <v>1863.04</v>
      </c>
    </row>
    <row r="287" spans="1:8" x14ac:dyDescent="0.25">
      <c r="A287" t="s">
        <v>8</v>
      </c>
      <c r="B287" t="s">
        <v>121</v>
      </c>
      <c r="C287">
        <v>1</v>
      </c>
      <c r="D287" t="s">
        <v>205</v>
      </c>
      <c r="E287" t="s">
        <v>316</v>
      </c>
      <c r="F287">
        <v>3</v>
      </c>
      <c r="G287">
        <v>868</v>
      </c>
      <c r="H287">
        <v>2604</v>
      </c>
    </row>
    <row r="288" spans="1:8" x14ac:dyDescent="0.25">
      <c r="A288" t="s">
        <v>8</v>
      </c>
      <c r="B288" t="s">
        <v>122</v>
      </c>
      <c r="C288">
        <v>1</v>
      </c>
      <c r="D288" t="s">
        <v>205</v>
      </c>
      <c r="E288" t="s">
        <v>316</v>
      </c>
      <c r="F288">
        <v>0.5</v>
      </c>
      <c r="G288">
        <v>868</v>
      </c>
      <c r="H288">
        <v>434</v>
      </c>
    </row>
    <row r="289" spans="1:8" x14ac:dyDescent="0.25">
      <c r="A289" t="s">
        <v>8</v>
      </c>
      <c r="B289" t="s">
        <v>123</v>
      </c>
      <c r="C289">
        <v>1</v>
      </c>
      <c r="D289" t="s">
        <v>286</v>
      </c>
      <c r="E289" t="s">
        <v>398</v>
      </c>
      <c r="F289">
        <v>0.2</v>
      </c>
      <c r="G289">
        <v>557</v>
      </c>
      <c r="H289">
        <v>111.4</v>
      </c>
    </row>
    <row r="290" spans="1:8" x14ac:dyDescent="0.25">
      <c r="A290" t="s">
        <v>8</v>
      </c>
      <c r="B290" t="s">
        <v>123</v>
      </c>
      <c r="C290">
        <v>1</v>
      </c>
      <c r="D290" t="s">
        <v>287</v>
      </c>
      <c r="E290" t="s">
        <v>399</v>
      </c>
      <c r="F290">
        <v>0.2</v>
      </c>
      <c r="G290">
        <v>190</v>
      </c>
      <c r="H290">
        <v>38</v>
      </c>
    </row>
    <row r="291" spans="1:8" x14ac:dyDescent="0.25">
      <c r="A291" t="s">
        <v>8</v>
      </c>
      <c r="B291" t="s">
        <v>124</v>
      </c>
      <c r="C291">
        <v>1</v>
      </c>
      <c r="D291" t="s">
        <v>205</v>
      </c>
      <c r="E291" t="s">
        <v>316</v>
      </c>
      <c r="F291">
        <v>1</v>
      </c>
      <c r="G291">
        <v>870</v>
      </c>
      <c r="H291">
        <v>870</v>
      </c>
    </row>
    <row r="292" spans="1:8" x14ac:dyDescent="0.25">
      <c r="A292" t="s">
        <v>8</v>
      </c>
      <c r="B292" t="s">
        <v>124</v>
      </c>
      <c r="C292">
        <v>1</v>
      </c>
      <c r="D292" t="s">
        <v>207</v>
      </c>
      <c r="E292" t="s">
        <v>318</v>
      </c>
      <c r="F292">
        <v>0.5</v>
      </c>
      <c r="G292">
        <v>887</v>
      </c>
      <c r="H292">
        <v>443.5</v>
      </c>
    </row>
    <row r="293" spans="1:8" x14ac:dyDescent="0.25">
      <c r="A293" t="s">
        <v>8</v>
      </c>
      <c r="B293" t="s">
        <v>125</v>
      </c>
      <c r="C293">
        <v>1</v>
      </c>
      <c r="D293" t="s">
        <v>206</v>
      </c>
      <c r="E293" t="s">
        <v>317</v>
      </c>
      <c r="F293">
        <v>1</v>
      </c>
      <c r="G293">
        <v>568</v>
      </c>
      <c r="H293">
        <v>568</v>
      </c>
    </row>
    <row r="294" spans="1:8" x14ac:dyDescent="0.25">
      <c r="A294" t="s">
        <v>8</v>
      </c>
      <c r="B294" t="s">
        <v>125</v>
      </c>
      <c r="C294">
        <v>1</v>
      </c>
      <c r="D294" t="s">
        <v>205</v>
      </c>
      <c r="E294" t="s">
        <v>316</v>
      </c>
      <c r="F294">
        <v>1</v>
      </c>
      <c r="G294">
        <v>870</v>
      </c>
      <c r="H294">
        <v>870</v>
      </c>
    </row>
    <row r="295" spans="1:8" x14ac:dyDescent="0.25">
      <c r="A295" t="s">
        <v>8</v>
      </c>
      <c r="B295" t="s">
        <v>125</v>
      </c>
      <c r="C295">
        <v>1</v>
      </c>
      <c r="D295" t="s">
        <v>207</v>
      </c>
      <c r="E295" t="s">
        <v>318</v>
      </c>
      <c r="F295">
        <v>1</v>
      </c>
      <c r="G295">
        <v>887</v>
      </c>
      <c r="H295">
        <v>887</v>
      </c>
    </row>
    <row r="296" spans="1:8" x14ac:dyDescent="0.25">
      <c r="A296" t="s">
        <v>8</v>
      </c>
      <c r="B296" t="s">
        <v>126</v>
      </c>
      <c r="C296">
        <v>1</v>
      </c>
      <c r="D296" t="s">
        <v>205</v>
      </c>
      <c r="E296" t="s">
        <v>316</v>
      </c>
      <c r="F296">
        <v>2</v>
      </c>
      <c r="G296">
        <v>870</v>
      </c>
      <c r="H296">
        <v>1740</v>
      </c>
    </row>
    <row r="297" spans="1:8" x14ac:dyDescent="0.25">
      <c r="A297" t="s">
        <v>8</v>
      </c>
      <c r="B297" t="s">
        <v>126</v>
      </c>
      <c r="C297">
        <v>1</v>
      </c>
      <c r="D297" t="s">
        <v>227</v>
      </c>
      <c r="E297" t="s">
        <v>338</v>
      </c>
      <c r="F297">
        <v>1</v>
      </c>
      <c r="G297">
        <v>1418</v>
      </c>
      <c r="H297">
        <v>1418</v>
      </c>
    </row>
    <row r="298" spans="1:8" x14ac:dyDescent="0.25">
      <c r="A298" t="s">
        <v>8</v>
      </c>
      <c r="B298" t="s">
        <v>126</v>
      </c>
      <c r="C298">
        <v>1</v>
      </c>
      <c r="D298" t="s">
        <v>206</v>
      </c>
      <c r="E298" t="s">
        <v>317</v>
      </c>
      <c r="F298">
        <v>2</v>
      </c>
      <c r="G298">
        <v>568</v>
      </c>
      <c r="H298">
        <v>1136</v>
      </c>
    </row>
    <row r="299" spans="1:8" x14ac:dyDescent="0.25">
      <c r="A299" t="s">
        <v>8</v>
      </c>
      <c r="B299" t="s">
        <v>126</v>
      </c>
      <c r="C299">
        <v>1</v>
      </c>
      <c r="D299" t="s">
        <v>207</v>
      </c>
      <c r="E299" t="s">
        <v>318</v>
      </c>
      <c r="F299">
        <v>1</v>
      </c>
      <c r="G299">
        <v>887</v>
      </c>
      <c r="H299">
        <v>887</v>
      </c>
    </row>
    <row r="300" spans="1:8" x14ac:dyDescent="0.25">
      <c r="A300" t="s">
        <v>8</v>
      </c>
      <c r="B300" t="s">
        <v>127</v>
      </c>
      <c r="C300">
        <v>1</v>
      </c>
      <c r="D300" t="s">
        <v>222</v>
      </c>
      <c r="E300" t="s">
        <v>333</v>
      </c>
      <c r="F300">
        <v>0.34</v>
      </c>
      <c r="G300">
        <v>8766</v>
      </c>
      <c r="H300">
        <v>2980.44</v>
      </c>
    </row>
    <row r="301" spans="1:8" x14ac:dyDescent="0.25">
      <c r="A301" t="s">
        <v>8</v>
      </c>
      <c r="B301" t="s">
        <v>127</v>
      </c>
      <c r="C301">
        <v>1</v>
      </c>
      <c r="D301" t="s">
        <v>217</v>
      </c>
      <c r="E301" t="s">
        <v>328</v>
      </c>
      <c r="F301">
        <v>7.0000000000000007E-2</v>
      </c>
      <c r="G301">
        <v>5822</v>
      </c>
      <c r="H301">
        <v>407.54</v>
      </c>
    </row>
    <row r="302" spans="1:8" x14ac:dyDescent="0.25">
      <c r="A302" t="s">
        <v>8</v>
      </c>
      <c r="B302" t="s">
        <v>128</v>
      </c>
      <c r="C302">
        <v>1</v>
      </c>
      <c r="D302" t="s">
        <v>206</v>
      </c>
      <c r="E302" t="s">
        <v>317</v>
      </c>
      <c r="F302">
        <v>0.5</v>
      </c>
      <c r="G302">
        <v>568</v>
      </c>
      <c r="H302">
        <v>284</v>
      </c>
    </row>
    <row r="303" spans="1:8" x14ac:dyDescent="0.25">
      <c r="A303" t="s">
        <v>8</v>
      </c>
      <c r="B303" t="s">
        <v>128</v>
      </c>
      <c r="C303">
        <v>1</v>
      </c>
      <c r="D303" t="s">
        <v>207</v>
      </c>
      <c r="E303" t="s">
        <v>318</v>
      </c>
      <c r="F303">
        <v>0.5</v>
      </c>
      <c r="G303">
        <v>887</v>
      </c>
      <c r="H303">
        <v>443.5</v>
      </c>
    </row>
    <row r="304" spans="1:8" x14ac:dyDescent="0.25">
      <c r="A304" t="s">
        <v>8</v>
      </c>
      <c r="B304" t="s">
        <v>129</v>
      </c>
      <c r="C304">
        <v>1</v>
      </c>
      <c r="D304" t="s">
        <v>288</v>
      </c>
      <c r="E304" t="s">
        <v>400</v>
      </c>
      <c r="F304">
        <v>0.08</v>
      </c>
      <c r="G304">
        <v>27850</v>
      </c>
      <c r="H304">
        <v>2228</v>
      </c>
    </row>
    <row r="305" spans="1:8" x14ac:dyDescent="0.25">
      <c r="A305" t="s">
        <v>8</v>
      </c>
      <c r="B305" t="s">
        <v>130</v>
      </c>
      <c r="C305">
        <v>1</v>
      </c>
      <c r="D305" t="s">
        <v>206</v>
      </c>
      <c r="E305" t="s">
        <v>317</v>
      </c>
      <c r="F305">
        <v>0.5</v>
      </c>
      <c r="G305">
        <v>568</v>
      </c>
      <c r="H305">
        <v>284</v>
      </c>
    </row>
    <row r="306" spans="1:8" x14ac:dyDescent="0.25">
      <c r="A306" t="s">
        <v>8</v>
      </c>
      <c r="B306" t="s">
        <v>130</v>
      </c>
      <c r="C306">
        <v>1</v>
      </c>
      <c r="D306" t="s">
        <v>205</v>
      </c>
      <c r="E306" t="s">
        <v>316</v>
      </c>
      <c r="F306">
        <v>0.5</v>
      </c>
      <c r="G306">
        <v>870</v>
      </c>
      <c r="H306">
        <v>435</v>
      </c>
    </row>
    <row r="307" spans="1:8" x14ac:dyDescent="0.25">
      <c r="A307" t="s">
        <v>8</v>
      </c>
      <c r="B307" t="s">
        <v>130</v>
      </c>
      <c r="C307">
        <v>1</v>
      </c>
      <c r="D307" t="s">
        <v>237</v>
      </c>
      <c r="E307" t="s">
        <v>348</v>
      </c>
      <c r="F307">
        <v>0.2</v>
      </c>
      <c r="G307">
        <v>887</v>
      </c>
      <c r="H307">
        <v>177.4</v>
      </c>
    </row>
    <row r="308" spans="1:8" x14ac:dyDescent="0.25">
      <c r="A308" t="s">
        <v>8</v>
      </c>
      <c r="B308" t="s">
        <v>131</v>
      </c>
      <c r="C308">
        <v>1</v>
      </c>
      <c r="D308" t="s">
        <v>288</v>
      </c>
      <c r="E308" t="s">
        <v>400</v>
      </c>
      <c r="F308">
        <v>0.27</v>
      </c>
      <c r="G308">
        <v>27500</v>
      </c>
      <c r="H308">
        <v>7425</v>
      </c>
    </row>
    <row r="309" spans="1:8" x14ac:dyDescent="0.25">
      <c r="A309" t="s">
        <v>8</v>
      </c>
      <c r="B309" t="s">
        <v>132</v>
      </c>
      <c r="C309">
        <v>1</v>
      </c>
      <c r="D309" t="s">
        <v>206</v>
      </c>
      <c r="E309" t="s">
        <v>317</v>
      </c>
      <c r="F309">
        <v>1</v>
      </c>
      <c r="G309">
        <v>568</v>
      </c>
      <c r="H309">
        <v>568</v>
      </c>
    </row>
    <row r="310" spans="1:8" x14ac:dyDescent="0.25">
      <c r="A310" t="s">
        <v>8</v>
      </c>
      <c r="B310" t="s">
        <v>132</v>
      </c>
      <c r="C310">
        <v>1</v>
      </c>
      <c r="D310" t="s">
        <v>205</v>
      </c>
      <c r="E310" t="s">
        <v>316</v>
      </c>
      <c r="F310">
        <v>1</v>
      </c>
      <c r="G310">
        <v>870</v>
      </c>
      <c r="H310">
        <v>870</v>
      </c>
    </row>
    <row r="311" spans="1:8" x14ac:dyDescent="0.25">
      <c r="A311" t="s">
        <v>8</v>
      </c>
      <c r="B311" t="s">
        <v>132</v>
      </c>
      <c r="C311">
        <v>1</v>
      </c>
      <c r="D311" t="s">
        <v>207</v>
      </c>
      <c r="E311" t="s">
        <v>318</v>
      </c>
      <c r="F311">
        <v>1</v>
      </c>
      <c r="G311">
        <v>887</v>
      </c>
      <c r="H311">
        <v>887</v>
      </c>
    </row>
    <row r="312" spans="1:8" x14ac:dyDescent="0.25">
      <c r="A312" t="s">
        <v>8</v>
      </c>
      <c r="B312" t="s">
        <v>132</v>
      </c>
      <c r="C312">
        <v>1</v>
      </c>
      <c r="D312" t="s">
        <v>289</v>
      </c>
      <c r="E312" t="s">
        <v>401</v>
      </c>
      <c r="F312">
        <v>0.05</v>
      </c>
      <c r="G312">
        <v>2226</v>
      </c>
      <c r="H312">
        <v>111.3</v>
      </c>
    </row>
    <row r="313" spans="1:8" x14ac:dyDescent="0.25">
      <c r="A313" t="s">
        <v>8</v>
      </c>
      <c r="B313" t="s">
        <v>132</v>
      </c>
      <c r="C313">
        <v>1</v>
      </c>
      <c r="D313" t="s">
        <v>290</v>
      </c>
      <c r="E313" t="s">
        <v>402</v>
      </c>
      <c r="F313">
        <v>0.1</v>
      </c>
      <c r="G313">
        <v>1418</v>
      </c>
      <c r="H313">
        <v>141.80000000000001</v>
      </c>
    </row>
    <row r="314" spans="1:8" x14ac:dyDescent="0.25">
      <c r="A314" t="s">
        <v>8</v>
      </c>
      <c r="B314" t="s">
        <v>132</v>
      </c>
      <c r="C314">
        <v>1</v>
      </c>
      <c r="D314" t="s">
        <v>291</v>
      </c>
      <c r="E314" t="s">
        <v>403</v>
      </c>
      <c r="F314">
        <v>0.2</v>
      </c>
      <c r="G314">
        <v>462</v>
      </c>
      <c r="H314">
        <v>92.4</v>
      </c>
    </row>
    <row r="315" spans="1:8" x14ac:dyDescent="0.25">
      <c r="A315" t="s">
        <v>8</v>
      </c>
      <c r="B315" t="s">
        <v>133</v>
      </c>
      <c r="C315">
        <v>1</v>
      </c>
      <c r="D315" t="s">
        <v>206</v>
      </c>
      <c r="E315" t="s">
        <v>317</v>
      </c>
      <c r="F315">
        <v>0.5</v>
      </c>
      <c r="G315">
        <v>568</v>
      </c>
      <c r="H315">
        <v>284</v>
      </c>
    </row>
    <row r="316" spans="1:8" x14ac:dyDescent="0.25">
      <c r="A316" t="s">
        <v>8</v>
      </c>
      <c r="B316" t="s">
        <v>133</v>
      </c>
      <c r="C316">
        <v>1</v>
      </c>
      <c r="D316" t="s">
        <v>205</v>
      </c>
      <c r="E316" t="s">
        <v>316</v>
      </c>
      <c r="F316">
        <v>0.5</v>
      </c>
      <c r="G316">
        <v>870</v>
      </c>
      <c r="H316">
        <v>435</v>
      </c>
    </row>
    <row r="317" spans="1:8" x14ac:dyDescent="0.25">
      <c r="A317" t="s">
        <v>8</v>
      </c>
      <c r="B317" t="s">
        <v>133</v>
      </c>
      <c r="C317">
        <v>1</v>
      </c>
      <c r="D317" t="s">
        <v>207</v>
      </c>
      <c r="E317" t="s">
        <v>318</v>
      </c>
      <c r="F317">
        <v>0.5</v>
      </c>
      <c r="G317">
        <v>887</v>
      </c>
      <c r="H317">
        <v>443.5</v>
      </c>
    </row>
    <row r="318" spans="1:8" x14ac:dyDescent="0.25">
      <c r="A318" t="s">
        <v>8</v>
      </c>
      <c r="B318" t="s">
        <v>134</v>
      </c>
      <c r="C318">
        <v>1</v>
      </c>
      <c r="D318" t="s">
        <v>217</v>
      </c>
      <c r="E318" t="s">
        <v>328</v>
      </c>
      <c r="F318">
        <v>0.12</v>
      </c>
      <c r="G318">
        <v>5647.34</v>
      </c>
      <c r="H318">
        <v>677.68</v>
      </c>
    </row>
    <row r="319" spans="1:8" x14ac:dyDescent="0.25">
      <c r="A319" t="s">
        <v>8</v>
      </c>
      <c r="B319" t="s">
        <v>135</v>
      </c>
      <c r="C319">
        <v>1</v>
      </c>
      <c r="D319" t="s">
        <v>206</v>
      </c>
      <c r="E319" t="s">
        <v>317</v>
      </c>
      <c r="F319">
        <v>0.5</v>
      </c>
      <c r="G319">
        <v>568</v>
      </c>
      <c r="H319">
        <v>284</v>
      </c>
    </row>
    <row r="320" spans="1:8" x14ac:dyDescent="0.25">
      <c r="A320" t="s">
        <v>8</v>
      </c>
      <c r="B320" t="s">
        <v>135</v>
      </c>
      <c r="C320">
        <v>1</v>
      </c>
      <c r="D320" t="s">
        <v>207</v>
      </c>
      <c r="E320" t="s">
        <v>318</v>
      </c>
      <c r="F320">
        <v>0.5</v>
      </c>
      <c r="G320">
        <v>887</v>
      </c>
      <c r="H320">
        <v>443.5</v>
      </c>
    </row>
    <row r="321" spans="1:8" x14ac:dyDescent="0.25">
      <c r="A321" t="s">
        <v>8</v>
      </c>
      <c r="B321" t="s">
        <v>135</v>
      </c>
      <c r="C321">
        <v>1</v>
      </c>
      <c r="D321" t="s">
        <v>215</v>
      </c>
      <c r="E321" t="s">
        <v>326</v>
      </c>
      <c r="F321">
        <v>0.25</v>
      </c>
      <c r="G321">
        <v>870</v>
      </c>
      <c r="H321">
        <v>217.5</v>
      </c>
    </row>
    <row r="322" spans="1:8" x14ac:dyDescent="0.25">
      <c r="A322" t="s">
        <v>8</v>
      </c>
      <c r="B322" t="s">
        <v>136</v>
      </c>
      <c r="C322">
        <v>1</v>
      </c>
      <c r="D322" t="s">
        <v>205</v>
      </c>
      <c r="E322" t="s">
        <v>316</v>
      </c>
      <c r="F322">
        <v>3</v>
      </c>
      <c r="G322">
        <v>870</v>
      </c>
      <c r="H322">
        <v>2610</v>
      </c>
    </row>
    <row r="323" spans="1:8" x14ac:dyDescent="0.25">
      <c r="A323" t="s">
        <v>8</v>
      </c>
      <c r="B323" t="s">
        <v>136</v>
      </c>
      <c r="C323">
        <v>1</v>
      </c>
      <c r="D323" t="s">
        <v>206</v>
      </c>
      <c r="E323" t="s">
        <v>317</v>
      </c>
      <c r="F323">
        <v>0.5</v>
      </c>
      <c r="G323">
        <v>568</v>
      </c>
      <c r="H323">
        <v>284</v>
      </c>
    </row>
    <row r="324" spans="1:8" x14ac:dyDescent="0.25">
      <c r="A324" t="s">
        <v>8</v>
      </c>
      <c r="B324" t="s">
        <v>136</v>
      </c>
      <c r="C324">
        <v>1</v>
      </c>
      <c r="D324" t="s">
        <v>207</v>
      </c>
      <c r="E324" t="s">
        <v>318</v>
      </c>
      <c r="F324">
        <v>1</v>
      </c>
      <c r="G324">
        <v>887</v>
      </c>
      <c r="H324">
        <v>887</v>
      </c>
    </row>
    <row r="325" spans="1:8" x14ac:dyDescent="0.25">
      <c r="A325" t="s">
        <v>8</v>
      </c>
      <c r="B325" t="s">
        <v>136</v>
      </c>
      <c r="C325">
        <v>1</v>
      </c>
      <c r="D325" t="s">
        <v>227</v>
      </c>
      <c r="E325" t="s">
        <v>338</v>
      </c>
      <c r="F325">
        <v>1.5</v>
      </c>
      <c r="G325">
        <v>1418</v>
      </c>
      <c r="H325">
        <v>2127</v>
      </c>
    </row>
    <row r="326" spans="1:8" x14ac:dyDescent="0.25">
      <c r="A326" t="s">
        <v>8</v>
      </c>
      <c r="B326" t="s">
        <v>137</v>
      </c>
      <c r="C326">
        <v>1</v>
      </c>
      <c r="D326" t="s">
        <v>292</v>
      </c>
      <c r="E326" t="s">
        <v>404</v>
      </c>
      <c r="F326">
        <v>0.04</v>
      </c>
      <c r="G326">
        <v>42800.28</v>
      </c>
      <c r="H326">
        <v>1712.01</v>
      </c>
    </row>
    <row r="327" spans="1:8" x14ac:dyDescent="0.25">
      <c r="A327" t="s">
        <v>8</v>
      </c>
      <c r="B327" t="s">
        <v>138</v>
      </c>
      <c r="C327">
        <v>1</v>
      </c>
      <c r="D327" t="s">
        <v>206</v>
      </c>
      <c r="E327" t="s">
        <v>317</v>
      </c>
      <c r="F327">
        <v>1</v>
      </c>
      <c r="G327">
        <v>568</v>
      </c>
      <c r="H327">
        <v>568</v>
      </c>
    </row>
    <row r="328" spans="1:8" x14ac:dyDescent="0.25">
      <c r="A328" t="s">
        <v>8</v>
      </c>
      <c r="B328" t="s">
        <v>138</v>
      </c>
      <c r="C328">
        <v>1</v>
      </c>
      <c r="D328" t="s">
        <v>207</v>
      </c>
      <c r="E328" t="s">
        <v>318</v>
      </c>
      <c r="F328">
        <v>0.5</v>
      </c>
      <c r="G328">
        <v>887</v>
      </c>
      <c r="H328">
        <v>443.5</v>
      </c>
    </row>
    <row r="329" spans="1:8" x14ac:dyDescent="0.25">
      <c r="A329" t="s">
        <v>8</v>
      </c>
      <c r="B329" t="s">
        <v>138</v>
      </c>
      <c r="C329">
        <v>1</v>
      </c>
      <c r="D329" t="s">
        <v>205</v>
      </c>
      <c r="E329" t="s">
        <v>316</v>
      </c>
      <c r="F329">
        <v>1</v>
      </c>
      <c r="G329">
        <v>870</v>
      </c>
      <c r="H329">
        <v>870</v>
      </c>
    </row>
    <row r="330" spans="1:8" x14ac:dyDescent="0.25">
      <c r="A330" t="s">
        <v>8</v>
      </c>
      <c r="B330" t="s">
        <v>138</v>
      </c>
      <c r="C330">
        <v>1</v>
      </c>
      <c r="D330" t="s">
        <v>232</v>
      </c>
      <c r="E330" t="s">
        <v>343</v>
      </c>
      <c r="F330">
        <v>0.5</v>
      </c>
      <c r="G330">
        <v>190</v>
      </c>
      <c r="H330">
        <v>95</v>
      </c>
    </row>
    <row r="331" spans="1:8" x14ac:dyDescent="0.25">
      <c r="A331" t="s">
        <v>8</v>
      </c>
      <c r="B331" t="s">
        <v>138</v>
      </c>
      <c r="C331">
        <v>1</v>
      </c>
      <c r="D331" t="s">
        <v>293</v>
      </c>
      <c r="E331" t="s">
        <v>405</v>
      </c>
      <c r="F331">
        <v>0.25</v>
      </c>
      <c r="G331">
        <v>557</v>
      </c>
      <c r="H331">
        <v>139.25</v>
      </c>
    </row>
    <row r="332" spans="1:8" x14ac:dyDescent="0.25">
      <c r="A332" t="s">
        <v>8</v>
      </c>
      <c r="B332" t="s">
        <v>139</v>
      </c>
      <c r="C332">
        <v>1</v>
      </c>
      <c r="D332" t="s">
        <v>294</v>
      </c>
      <c r="E332" t="s">
        <v>406</v>
      </c>
      <c r="F332">
        <v>7.0000000000000007E-2</v>
      </c>
      <c r="G332">
        <v>6121</v>
      </c>
      <c r="H332">
        <v>428.47</v>
      </c>
    </row>
    <row r="333" spans="1:8" x14ac:dyDescent="0.25">
      <c r="A333" t="s">
        <v>8</v>
      </c>
      <c r="B333" t="s">
        <v>139</v>
      </c>
      <c r="C333">
        <v>1</v>
      </c>
      <c r="D333" t="s">
        <v>217</v>
      </c>
      <c r="E333" t="s">
        <v>328</v>
      </c>
      <c r="F333">
        <v>7.4999999999999997E-2</v>
      </c>
      <c r="G333">
        <v>5822</v>
      </c>
      <c r="H333">
        <v>436.65</v>
      </c>
    </row>
    <row r="334" spans="1:8" x14ac:dyDescent="0.25">
      <c r="A334" t="s">
        <v>8</v>
      </c>
      <c r="B334" t="s">
        <v>139</v>
      </c>
      <c r="C334">
        <v>1</v>
      </c>
      <c r="D334" t="s">
        <v>295</v>
      </c>
      <c r="E334" t="s">
        <v>407</v>
      </c>
      <c r="F334">
        <v>5.5E-2</v>
      </c>
      <c r="G334">
        <v>4138</v>
      </c>
      <c r="H334">
        <v>227.59</v>
      </c>
    </row>
    <row r="335" spans="1:8" x14ac:dyDescent="0.25">
      <c r="A335" t="s">
        <v>8</v>
      </c>
      <c r="B335" t="s">
        <v>140</v>
      </c>
      <c r="C335">
        <v>1</v>
      </c>
      <c r="D335" t="s">
        <v>207</v>
      </c>
      <c r="E335" t="s">
        <v>318</v>
      </c>
      <c r="F335">
        <v>1</v>
      </c>
      <c r="G335">
        <v>887</v>
      </c>
      <c r="H335">
        <v>887</v>
      </c>
    </row>
    <row r="336" spans="1:8" x14ac:dyDescent="0.25">
      <c r="A336" t="s">
        <v>8</v>
      </c>
      <c r="B336" t="s">
        <v>140</v>
      </c>
      <c r="C336">
        <v>1</v>
      </c>
      <c r="D336" t="s">
        <v>206</v>
      </c>
      <c r="E336" t="s">
        <v>317</v>
      </c>
      <c r="F336">
        <v>1</v>
      </c>
      <c r="G336">
        <v>568</v>
      </c>
      <c r="H336">
        <v>568</v>
      </c>
    </row>
    <row r="337" spans="1:8" x14ac:dyDescent="0.25">
      <c r="A337" t="s">
        <v>8</v>
      </c>
      <c r="B337" t="s">
        <v>141</v>
      </c>
      <c r="C337">
        <v>1</v>
      </c>
      <c r="D337" t="s">
        <v>222</v>
      </c>
      <c r="E337" t="s">
        <v>333</v>
      </c>
      <c r="F337">
        <v>0.12</v>
      </c>
      <c r="G337">
        <v>8646.9</v>
      </c>
      <c r="H337">
        <v>1037.6300000000001</v>
      </c>
    </row>
    <row r="338" spans="1:8" x14ac:dyDescent="0.25">
      <c r="A338" t="s">
        <v>8</v>
      </c>
      <c r="B338" t="s">
        <v>141</v>
      </c>
      <c r="C338">
        <v>1</v>
      </c>
      <c r="D338" t="s">
        <v>222</v>
      </c>
      <c r="E338" t="s">
        <v>333</v>
      </c>
      <c r="F338">
        <v>0.11</v>
      </c>
      <c r="G338">
        <v>8646.9</v>
      </c>
      <c r="H338">
        <v>951.16</v>
      </c>
    </row>
    <row r="339" spans="1:8" x14ac:dyDescent="0.25">
      <c r="A339" t="s">
        <v>8</v>
      </c>
      <c r="B339" t="s">
        <v>141</v>
      </c>
      <c r="C339">
        <v>1</v>
      </c>
      <c r="D339" t="s">
        <v>222</v>
      </c>
      <c r="E339" t="s">
        <v>333</v>
      </c>
      <c r="F339">
        <v>5.5E-2</v>
      </c>
      <c r="G339">
        <v>8646.9</v>
      </c>
      <c r="H339">
        <v>475.58</v>
      </c>
    </row>
    <row r="340" spans="1:8" x14ac:dyDescent="0.25">
      <c r="A340" t="s">
        <v>8</v>
      </c>
      <c r="B340" t="s">
        <v>141</v>
      </c>
      <c r="C340">
        <v>1</v>
      </c>
      <c r="D340" t="s">
        <v>222</v>
      </c>
      <c r="E340" t="s">
        <v>333</v>
      </c>
      <c r="F340">
        <v>0.06</v>
      </c>
      <c r="G340">
        <v>8646.9</v>
      </c>
      <c r="H340">
        <v>518.80999999999995</v>
      </c>
    </row>
    <row r="341" spans="1:8" x14ac:dyDescent="0.25">
      <c r="A341" t="s">
        <v>8</v>
      </c>
      <c r="B341" t="s">
        <v>141</v>
      </c>
      <c r="C341">
        <v>1</v>
      </c>
      <c r="D341" t="s">
        <v>222</v>
      </c>
      <c r="E341" t="s">
        <v>333</v>
      </c>
      <c r="F341">
        <v>8.5000000000000006E-2</v>
      </c>
      <c r="G341">
        <v>8646.9</v>
      </c>
      <c r="H341">
        <v>734.99</v>
      </c>
    </row>
    <row r="342" spans="1:8" x14ac:dyDescent="0.25">
      <c r="A342" t="s">
        <v>8</v>
      </c>
      <c r="B342" t="s">
        <v>141</v>
      </c>
      <c r="C342">
        <v>1</v>
      </c>
      <c r="D342" t="s">
        <v>222</v>
      </c>
      <c r="E342" t="s">
        <v>333</v>
      </c>
      <c r="F342">
        <v>0.13500000000000001</v>
      </c>
      <c r="G342">
        <v>8646.9</v>
      </c>
      <c r="H342">
        <v>1167.33</v>
      </c>
    </row>
    <row r="343" spans="1:8" x14ac:dyDescent="0.25">
      <c r="A343" t="s">
        <v>8</v>
      </c>
      <c r="B343" t="s">
        <v>141</v>
      </c>
      <c r="C343">
        <v>1</v>
      </c>
      <c r="D343" t="s">
        <v>222</v>
      </c>
      <c r="E343" t="s">
        <v>333</v>
      </c>
      <c r="F343">
        <v>0.11</v>
      </c>
      <c r="G343">
        <v>8646.9</v>
      </c>
      <c r="H343">
        <v>951.16</v>
      </c>
    </row>
    <row r="344" spans="1:8" x14ac:dyDescent="0.25">
      <c r="A344" t="s">
        <v>8</v>
      </c>
      <c r="B344" t="s">
        <v>141</v>
      </c>
      <c r="C344">
        <v>1</v>
      </c>
      <c r="D344" t="s">
        <v>222</v>
      </c>
      <c r="E344" t="s">
        <v>333</v>
      </c>
      <c r="F344">
        <v>0.11</v>
      </c>
      <c r="G344">
        <v>8646.9</v>
      </c>
      <c r="H344">
        <v>951.16</v>
      </c>
    </row>
    <row r="345" spans="1:8" x14ac:dyDescent="0.25">
      <c r="A345" t="s">
        <v>8</v>
      </c>
      <c r="B345" t="s">
        <v>141</v>
      </c>
      <c r="C345">
        <v>2</v>
      </c>
      <c r="D345" t="s">
        <v>222</v>
      </c>
      <c r="E345" t="s">
        <v>333</v>
      </c>
      <c r="F345">
        <v>0.12</v>
      </c>
      <c r="G345">
        <v>8646.9</v>
      </c>
      <c r="H345">
        <v>1037.6300000000001</v>
      </c>
    </row>
    <row r="346" spans="1:8" x14ac:dyDescent="0.25">
      <c r="A346" t="s">
        <v>8</v>
      </c>
      <c r="B346" t="s">
        <v>141</v>
      </c>
      <c r="C346">
        <v>2</v>
      </c>
      <c r="D346" t="s">
        <v>222</v>
      </c>
      <c r="E346" t="s">
        <v>333</v>
      </c>
      <c r="F346">
        <v>0.11</v>
      </c>
      <c r="G346">
        <v>8646.9</v>
      </c>
      <c r="H346">
        <v>951.16</v>
      </c>
    </row>
    <row r="347" spans="1:8" x14ac:dyDescent="0.25">
      <c r="A347" t="s">
        <v>8</v>
      </c>
      <c r="B347" t="s">
        <v>141</v>
      </c>
      <c r="C347">
        <v>2</v>
      </c>
      <c r="D347" t="s">
        <v>222</v>
      </c>
      <c r="E347" t="s">
        <v>333</v>
      </c>
      <c r="F347">
        <v>5.5E-2</v>
      </c>
      <c r="G347">
        <v>8646.9</v>
      </c>
      <c r="H347">
        <v>475.58</v>
      </c>
    </row>
    <row r="348" spans="1:8" x14ac:dyDescent="0.25">
      <c r="A348" t="s">
        <v>8</v>
      </c>
      <c r="B348" t="s">
        <v>141</v>
      </c>
      <c r="C348">
        <v>2</v>
      </c>
      <c r="D348" t="s">
        <v>222</v>
      </c>
      <c r="E348" t="s">
        <v>333</v>
      </c>
      <c r="F348">
        <v>0.06</v>
      </c>
      <c r="G348">
        <v>8646.9</v>
      </c>
      <c r="H348">
        <v>518.80999999999995</v>
      </c>
    </row>
    <row r="349" spans="1:8" x14ac:dyDescent="0.25">
      <c r="A349" t="s">
        <v>8</v>
      </c>
      <c r="B349" t="s">
        <v>141</v>
      </c>
      <c r="C349">
        <v>2</v>
      </c>
      <c r="D349" t="s">
        <v>222</v>
      </c>
      <c r="E349" t="s">
        <v>333</v>
      </c>
      <c r="F349">
        <v>8.5000000000000006E-2</v>
      </c>
      <c r="G349">
        <v>8646.9</v>
      </c>
      <c r="H349">
        <v>734.99</v>
      </c>
    </row>
    <row r="350" spans="1:8" x14ac:dyDescent="0.25">
      <c r="A350" t="s">
        <v>8</v>
      </c>
      <c r="B350" t="s">
        <v>141</v>
      </c>
      <c r="C350">
        <v>2</v>
      </c>
      <c r="D350" t="s">
        <v>222</v>
      </c>
      <c r="E350" t="s">
        <v>333</v>
      </c>
      <c r="F350">
        <v>5.5E-2</v>
      </c>
      <c r="G350">
        <v>8646.9</v>
      </c>
      <c r="H350">
        <v>475.58</v>
      </c>
    </row>
    <row r="351" spans="1:8" x14ac:dyDescent="0.25">
      <c r="A351" t="s">
        <v>8</v>
      </c>
      <c r="B351" t="s">
        <v>141</v>
      </c>
      <c r="C351">
        <v>2</v>
      </c>
      <c r="D351" t="s">
        <v>271</v>
      </c>
      <c r="E351" t="s">
        <v>382</v>
      </c>
      <c r="F351">
        <v>0.14499999999999999</v>
      </c>
      <c r="G351">
        <v>13765.36</v>
      </c>
      <c r="H351">
        <v>1995.98</v>
      </c>
    </row>
    <row r="352" spans="1:8" x14ac:dyDescent="0.25">
      <c r="A352" t="s">
        <v>8</v>
      </c>
      <c r="B352" t="s">
        <v>141</v>
      </c>
      <c r="C352">
        <v>2</v>
      </c>
      <c r="D352" t="s">
        <v>271</v>
      </c>
      <c r="E352" t="s">
        <v>382</v>
      </c>
      <c r="F352">
        <v>0.16</v>
      </c>
      <c r="G352">
        <v>13765.36</v>
      </c>
      <c r="H352">
        <v>2202.46</v>
      </c>
    </row>
    <row r="353" spans="1:8" x14ac:dyDescent="0.25">
      <c r="A353" t="s">
        <v>8</v>
      </c>
      <c r="B353" t="s">
        <v>141</v>
      </c>
      <c r="C353">
        <v>2</v>
      </c>
      <c r="D353" t="s">
        <v>271</v>
      </c>
      <c r="E353" t="s">
        <v>382</v>
      </c>
      <c r="F353">
        <v>0.1</v>
      </c>
      <c r="G353">
        <v>13765.36</v>
      </c>
      <c r="H353">
        <v>1376.54</v>
      </c>
    </row>
    <row r="354" spans="1:8" x14ac:dyDescent="0.25">
      <c r="A354" t="s">
        <v>8</v>
      </c>
      <c r="B354" t="s">
        <v>141</v>
      </c>
      <c r="C354">
        <v>3</v>
      </c>
      <c r="D354" t="s">
        <v>271</v>
      </c>
      <c r="E354" t="s">
        <v>382</v>
      </c>
      <c r="F354">
        <v>0.14499999999999999</v>
      </c>
      <c r="G354">
        <v>13765.36</v>
      </c>
      <c r="H354">
        <v>1995.98</v>
      </c>
    </row>
    <row r="355" spans="1:8" x14ac:dyDescent="0.25">
      <c r="A355" t="s">
        <v>8</v>
      </c>
      <c r="B355" t="s">
        <v>141</v>
      </c>
      <c r="C355">
        <v>3</v>
      </c>
      <c r="D355" t="s">
        <v>271</v>
      </c>
      <c r="E355" t="s">
        <v>382</v>
      </c>
      <c r="F355">
        <v>0.16</v>
      </c>
      <c r="G355">
        <v>13765.36</v>
      </c>
      <c r="H355">
        <v>2202.46</v>
      </c>
    </row>
    <row r="356" spans="1:8" x14ac:dyDescent="0.25">
      <c r="A356" t="s">
        <v>8</v>
      </c>
      <c r="B356" t="s">
        <v>141</v>
      </c>
      <c r="C356">
        <v>3</v>
      </c>
      <c r="D356" t="s">
        <v>271</v>
      </c>
      <c r="E356" t="s">
        <v>382</v>
      </c>
      <c r="F356">
        <v>0.1</v>
      </c>
      <c r="G356">
        <v>13765.36</v>
      </c>
      <c r="H356">
        <v>1376.54</v>
      </c>
    </row>
    <row r="357" spans="1:8" x14ac:dyDescent="0.25">
      <c r="A357" t="s">
        <v>8</v>
      </c>
      <c r="B357" t="s">
        <v>141</v>
      </c>
      <c r="C357">
        <v>3</v>
      </c>
      <c r="D357" t="s">
        <v>271</v>
      </c>
      <c r="E357" t="s">
        <v>382</v>
      </c>
      <c r="F357">
        <v>0.115</v>
      </c>
      <c r="G357">
        <v>13765.36</v>
      </c>
      <c r="H357">
        <v>1583.02</v>
      </c>
    </row>
    <row r="358" spans="1:8" x14ac:dyDescent="0.25">
      <c r="A358" t="s">
        <v>8</v>
      </c>
      <c r="B358" t="s">
        <v>141</v>
      </c>
      <c r="C358">
        <v>3</v>
      </c>
      <c r="D358" t="s">
        <v>271</v>
      </c>
      <c r="E358" t="s">
        <v>382</v>
      </c>
      <c r="F358">
        <v>0.08</v>
      </c>
      <c r="G358">
        <v>13765.36</v>
      </c>
      <c r="H358">
        <v>1101.23</v>
      </c>
    </row>
    <row r="359" spans="1:8" x14ac:dyDescent="0.25">
      <c r="A359" t="s">
        <v>8</v>
      </c>
      <c r="B359" t="s">
        <v>141</v>
      </c>
      <c r="C359">
        <v>3</v>
      </c>
      <c r="D359" t="s">
        <v>271</v>
      </c>
      <c r="E359" t="s">
        <v>382</v>
      </c>
      <c r="F359">
        <v>7.4999999999999997E-2</v>
      </c>
      <c r="G359">
        <v>13765.36</v>
      </c>
      <c r="H359">
        <v>1032.4000000000001</v>
      </c>
    </row>
    <row r="360" spans="1:8" x14ac:dyDescent="0.25">
      <c r="A360" t="s">
        <v>8</v>
      </c>
      <c r="B360" t="s">
        <v>141</v>
      </c>
      <c r="C360">
        <v>3</v>
      </c>
      <c r="D360" t="s">
        <v>271</v>
      </c>
      <c r="E360" t="s">
        <v>382</v>
      </c>
      <c r="F360">
        <v>8.5000000000000006E-2</v>
      </c>
      <c r="G360">
        <v>13765.36</v>
      </c>
      <c r="H360">
        <v>1170.06</v>
      </c>
    </row>
    <row r="361" spans="1:8" x14ac:dyDescent="0.25">
      <c r="A361" t="s">
        <v>8</v>
      </c>
      <c r="B361" t="s">
        <v>141</v>
      </c>
      <c r="C361">
        <v>3</v>
      </c>
      <c r="D361" t="s">
        <v>271</v>
      </c>
      <c r="E361" t="s">
        <v>382</v>
      </c>
      <c r="F361">
        <v>0.08</v>
      </c>
      <c r="G361">
        <v>13765.36</v>
      </c>
      <c r="H361">
        <v>1101.23</v>
      </c>
    </row>
    <row r="362" spans="1:8" x14ac:dyDescent="0.25">
      <c r="A362" t="s">
        <v>8</v>
      </c>
      <c r="B362" t="s">
        <v>141</v>
      </c>
      <c r="C362">
        <v>3</v>
      </c>
      <c r="D362" t="s">
        <v>271</v>
      </c>
      <c r="E362" t="s">
        <v>382</v>
      </c>
      <c r="F362">
        <v>4.4999999999999998E-2</v>
      </c>
      <c r="G362">
        <v>13765.36</v>
      </c>
      <c r="H362">
        <v>619.44000000000005</v>
      </c>
    </row>
    <row r="363" spans="1:8" x14ac:dyDescent="0.25">
      <c r="A363" t="s">
        <v>8</v>
      </c>
      <c r="B363" t="s">
        <v>141</v>
      </c>
      <c r="C363">
        <v>4</v>
      </c>
      <c r="D363" t="s">
        <v>271</v>
      </c>
      <c r="E363" t="s">
        <v>382</v>
      </c>
      <c r="F363">
        <v>0.04</v>
      </c>
      <c r="G363">
        <v>13765.36</v>
      </c>
      <c r="H363">
        <v>550.61</v>
      </c>
    </row>
    <row r="364" spans="1:8" x14ac:dyDescent="0.25">
      <c r="A364" t="s">
        <v>8</v>
      </c>
      <c r="B364" t="s">
        <v>141</v>
      </c>
      <c r="C364">
        <v>4</v>
      </c>
      <c r="D364" t="s">
        <v>271</v>
      </c>
      <c r="E364" t="s">
        <v>382</v>
      </c>
      <c r="F364">
        <v>6.5000000000000002E-2</v>
      </c>
      <c r="G364">
        <v>13765.36</v>
      </c>
      <c r="H364">
        <v>894.75</v>
      </c>
    </row>
    <row r="365" spans="1:8" x14ac:dyDescent="0.25">
      <c r="A365" t="s">
        <v>8</v>
      </c>
      <c r="B365" t="s">
        <v>141</v>
      </c>
      <c r="C365">
        <v>4</v>
      </c>
      <c r="D365" t="s">
        <v>271</v>
      </c>
      <c r="E365" t="s">
        <v>382</v>
      </c>
      <c r="F365">
        <v>0.06</v>
      </c>
      <c r="G365">
        <v>13765.36</v>
      </c>
      <c r="H365">
        <v>825.92</v>
      </c>
    </row>
    <row r="366" spans="1:8" x14ac:dyDescent="0.25">
      <c r="A366" t="s">
        <v>8</v>
      </c>
      <c r="B366" t="s">
        <v>141</v>
      </c>
      <c r="C366">
        <v>4</v>
      </c>
      <c r="D366" t="s">
        <v>271</v>
      </c>
      <c r="E366" t="s">
        <v>382</v>
      </c>
      <c r="F366">
        <v>0.05</v>
      </c>
      <c r="G366">
        <v>13765.36</v>
      </c>
      <c r="H366">
        <v>688.27</v>
      </c>
    </row>
    <row r="367" spans="1:8" x14ac:dyDescent="0.25">
      <c r="A367" t="s">
        <v>8</v>
      </c>
      <c r="B367" t="s">
        <v>141</v>
      </c>
      <c r="C367">
        <v>4</v>
      </c>
      <c r="D367" t="s">
        <v>271</v>
      </c>
      <c r="E367" t="s">
        <v>382</v>
      </c>
      <c r="F367">
        <v>4.4999999999999998E-2</v>
      </c>
      <c r="G367">
        <v>13765.36</v>
      </c>
      <c r="H367">
        <v>619.44000000000005</v>
      </c>
    </row>
    <row r="368" spans="1:8" x14ac:dyDescent="0.25">
      <c r="A368" t="s">
        <v>8</v>
      </c>
      <c r="B368" t="s">
        <v>141</v>
      </c>
      <c r="C368">
        <v>4</v>
      </c>
      <c r="D368" t="s">
        <v>271</v>
      </c>
      <c r="E368" t="s">
        <v>382</v>
      </c>
      <c r="F368">
        <v>7.4999999999999997E-2</v>
      </c>
      <c r="G368">
        <v>13765.36</v>
      </c>
      <c r="H368">
        <v>1032.4000000000001</v>
      </c>
    </row>
    <row r="369" spans="1:8" x14ac:dyDescent="0.25">
      <c r="A369" t="s">
        <v>8</v>
      </c>
      <c r="B369" t="s">
        <v>141</v>
      </c>
      <c r="C369">
        <v>4</v>
      </c>
      <c r="D369" t="s">
        <v>271</v>
      </c>
      <c r="E369" t="s">
        <v>382</v>
      </c>
      <c r="F369">
        <v>8.5000000000000006E-2</v>
      </c>
      <c r="G369">
        <v>13765.36</v>
      </c>
      <c r="H369">
        <v>1170.06</v>
      </c>
    </row>
    <row r="370" spans="1:8" x14ac:dyDescent="0.25">
      <c r="A370" t="s">
        <v>8</v>
      </c>
      <c r="B370" t="s">
        <v>141</v>
      </c>
      <c r="C370">
        <v>4</v>
      </c>
      <c r="D370" t="s">
        <v>271</v>
      </c>
      <c r="E370" t="s">
        <v>382</v>
      </c>
      <c r="F370">
        <v>0.08</v>
      </c>
      <c r="G370">
        <v>13765.36</v>
      </c>
      <c r="H370">
        <v>1101.23</v>
      </c>
    </row>
    <row r="371" spans="1:8" x14ac:dyDescent="0.25">
      <c r="A371" t="s">
        <v>8</v>
      </c>
      <c r="B371" t="s">
        <v>141</v>
      </c>
      <c r="C371">
        <v>4</v>
      </c>
      <c r="D371" t="s">
        <v>271</v>
      </c>
      <c r="E371" t="s">
        <v>382</v>
      </c>
      <c r="F371">
        <v>4.4999999999999998E-2</v>
      </c>
      <c r="G371">
        <v>13765.36</v>
      </c>
      <c r="H371">
        <v>619.44000000000005</v>
      </c>
    </row>
    <row r="372" spans="1:8" x14ac:dyDescent="0.25">
      <c r="A372" t="s">
        <v>8</v>
      </c>
      <c r="B372" t="s">
        <v>141</v>
      </c>
      <c r="C372">
        <v>5</v>
      </c>
      <c r="D372" t="s">
        <v>271</v>
      </c>
      <c r="E372" t="s">
        <v>382</v>
      </c>
      <c r="F372">
        <v>0.04</v>
      </c>
      <c r="G372">
        <v>13765.36</v>
      </c>
      <c r="H372">
        <v>550.61</v>
      </c>
    </row>
    <row r="373" spans="1:8" x14ac:dyDescent="0.25">
      <c r="A373" t="s">
        <v>8</v>
      </c>
      <c r="B373" t="s">
        <v>141</v>
      </c>
      <c r="C373">
        <v>5</v>
      </c>
      <c r="D373" t="s">
        <v>271</v>
      </c>
      <c r="E373" t="s">
        <v>382</v>
      </c>
      <c r="F373">
        <v>6.5000000000000002E-2</v>
      </c>
      <c r="G373">
        <v>13765.36</v>
      </c>
      <c r="H373">
        <v>894.75</v>
      </c>
    </row>
    <row r="374" spans="1:8" x14ac:dyDescent="0.25">
      <c r="A374" t="s">
        <v>8</v>
      </c>
      <c r="B374" t="s">
        <v>141</v>
      </c>
      <c r="C374">
        <v>5</v>
      </c>
      <c r="D374" t="s">
        <v>271</v>
      </c>
      <c r="E374" t="s">
        <v>382</v>
      </c>
      <c r="F374">
        <v>0.06</v>
      </c>
      <c r="G374">
        <v>13765.36</v>
      </c>
      <c r="H374">
        <v>825.92</v>
      </c>
    </row>
    <row r="375" spans="1:8" x14ac:dyDescent="0.25">
      <c r="A375" t="s">
        <v>8</v>
      </c>
      <c r="B375" t="s">
        <v>141</v>
      </c>
      <c r="C375">
        <v>5</v>
      </c>
      <c r="D375" t="s">
        <v>271</v>
      </c>
      <c r="E375" t="s">
        <v>382</v>
      </c>
      <c r="F375">
        <v>0.05</v>
      </c>
      <c r="G375">
        <v>13765.36</v>
      </c>
      <c r="H375">
        <v>688.27</v>
      </c>
    </row>
    <row r="376" spans="1:8" x14ac:dyDescent="0.25">
      <c r="A376" t="s">
        <v>8</v>
      </c>
      <c r="B376" t="s">
        <v>141</v>
      </c>
      <c r="C376">
        <v>5</v>
      </c>
      <c r="D376" t="s">
        <v>271</v>
      </c>
      <c r="E376" t="s">
        <v>382</v>
      </c>
      <c r="F376">
        <v>4.4999999999999998E-2</v>
      </c>
      <c r="G376">
        <v>13765.36</v>
      </c>
      <c r="H376">
        <v>619.44000000000005</v>
      </c>
    </row>
    <row r="377" spans="1:8" x14ac:dyDescent="0.25">
      <c r="A377" t="s">
        <v>8</v>
      </c>
      <c r="B377" t="s">
        <v>141</v>
      </c>
      <c r="C377">
        <v>5</v>
      </c>
      <c r="D377" t="s">
        <v>217</v>
      </c>
      <c r="E377" t="s">
        <v>328</v>
      </c>
      <c r="F377">
        <v>0.11</v>
      </c>
      <c r="G377">
        <v>5604.05</v>
      </c>
      <c r="H377">
        <v>616.45000000000005</v>
      </c>
    </row>
    <row r="378" spans="1:8" x14ac:dyDescent="0.25">
      <c r="A378" t="s">
        <v>8</v>
      </c>
      <c r="B378" t="s">
        <v>141</v>
      </c>
      <c r="C378">
        <v>5</v>
      </c>
      <c r="D378" t="s">
        <v>217</v>
      </c>
      <c r="E378" t="s">
        <v>328</v>
      </c>
      <c r="F378">
        <v>0.05</v>
      </c>
      <c r="G378">
        <v>5604.05</v>
      </c>
      <c r="H378">
        <v>280.2</v>
      </c>
    </row>
    <row r="379" spans="1:8" x14ac:dyDescent="0.25">
      <c r="A379" t="s">
        <v>8</v>
      </c>
      <c r="B379" t="s">
        <v>141</v>
      </c>
      <c r="C379">
        <v>5</v>
      </c>
      <c r="D379" t="s">
        <v>217</v>
      </c>
      <c r="E379" t="s">
        <v>328</v>
      </c>
      <c r="F379">
        <v>0.13500000000000001</v>
      </c>
      <c r="G379">
        <v>5604.05</v>
      </c>
      <c r="H379">
        <v>756.55</v>
      </c>
    </row>
    <row r="380" spans="1:8" x14ac:dyDescent="0.25">
      <c r="A380" t="s">
        <v>8</v>
      </c>
      <c r="B380" t="s">
        <v>141</v>
      </c>
      <c r="C380">
        <v>5</v>
      </c>
      <c r="D380" t="s">
        <v>217</v>
      </c>
      <c r="E380" t="s">
        <v>328</v>
      </c>
      <c r="F380">
        <v>0.05</v>
      </c>
      <c r="G380">
        <v>5604.05</v>
      </c>
      <c r="H380">
        <v>280.2</v>
      </c>
    </row>
    <row r="381" spans="1:8" x14ac:dyDescent="0.25">
      <c r="A381" t="s">
        <v>8</v>
      </c>
      <c r="B381" t="s">
        <v>142</v>
      </c>
      <c r="C381">
        <v>1</v>
      </c>
      <c r="D381" t="s">
        <v>224</v>
      </c>
      <c r="E381" t="s">
        <v>335</v>
      </c>
      <c r="F381">
        <v>0.1</v>
      </c>
      <c r="G381">
        <v>3800</v>
      </c>
      <c r="H381">
        <v>380</v>
      </c>
    </row>
    <row r="382" spans="1:8" x14ac:dyDescent="0.25">
      <c r="A382" t="s">
        <v>8</v>
      </c>
      <c r="B382" t="s">
        <v>143</v>
      </c>
      <c r="C382">
        <v>1</v>
      </c>
      <c r="D382" t="s">
        <v>206</v>
      </c>
      <c r="E382" t="s">
        <v>317</v>
      </c>
      <c r="F382">
        <v>1.5</v>
      </c>
      <c r="G382">
        <v>567</v>
      </c>
      <c r="H382">
        <v>850.5</v>
      </c>
    </row>
    <row r="383" spans="1:8" x14ac:dyDescent="0.25">
      <c r="A383" t="s">
        <v>8</v>
      </c>
      <c r="B383" t="s">
        <v>144</v>
      </c>
      <c r="C383">
        <v>1</v>
      </c>
      <c r="D383" t="s">
        <v>224</v>
      </c>
      <c r="E383" t="s">
        <v>335</v>
      </c>
      <c r="F383">
        <v>0.2</v>
      </c>
      <c r="G383">
        <v>3800</v>
      </c>
      <c r="H383">
        <v>760</v>
      </c>
    </row>
    <row r="384" spans="1:8" x14ac:dyDescent="0.25">
      <c r="A384" t="s">
        <v>8</v>
      </c>
      <c r="B384" t="s">
        <v>145</v>
      </c>
      <c r="C384">
        <v>1</v>
      </c>
      <c r="D384" t="s">
        <v>205</v>
      </c>
      <c r="E384" t="s">
        <v>316</v>
      </c>
      <c r="F384">
        <v>1</v>
      </c>
      <c r="G384">
        <v>873</v>
      </c>
      <c r="H384">
        <v>873</v>
      </c>
    </row>
    <row r="385" spans="1:8" x14ac:dyDescent="0.25">
      <c r="A385" t="s">
        <v>8</v>
      </c>
      <c r="B385" t="s">
        <v>146</v>
      </c>
      <c r="C385">
        <v>1</v>
      </c>
      <c r="D385" t="s">
        <v>271</v>
      </c>
      <c r="E385" t="s">
        <v>382</v>
      </c>
      <c r="F385">
        <v>0.08</v>
      </c>
      <c r="G385">
        <v>14000</v>
      </c>
      <c r="H385">
        <v>1120</v>
      </c>
    </row>
    <row r="386" spans="1:8" x14ac:dyDescent="0.25">
      <c r="A386" t="s">
        <v>8</v>
      </c>
      <c r="B386" t="s">
        <v>147</v>
      </c>
      <c r="C386">
        <v>1</v>
      </c>
      <c r="D386" t="s">
        <v>205</v>
      </c>
      <c r="E386" t="s">
        <v>316</v>
      </c>
      <c r="F386">
        <v>2.5</v>
      </c>
      <c r="G386">
        <v>873</v>
      </c>
      <c r="H386">
        <v>2182.5</v>
      </c>
    </row>
    <row r="387" spans="1:8" x14ac:dyDescent="0.25">
      <c r="A387" t="s">
        <v>8</v>
      </c>
      <c r="B387" t="s">
        <v>147</v>
      </c>
      <c r="C387">
        <v>1</v>
      </c>
      <c r="D387" t="s">
        <v>207</v>
      </c>
      <c r="E387" t="s">
        <v>318</v>
      </c>
      <c r="F387">
        <v>2.5</v>
      </c>
      <c r="G387">
        <v>893</v>
      </c>
      <c r="H387">
        <v>2232.5</v>
      </c>
    </row>
    <row r="388" spans="1:8" x14ac:dyDescent="0.25">
      <c r="A388" t="s">
        <v>8</v>
      </c>
      <c r="B388" t="s">
        <v>147</v>
      </c>
      <c r="C388">
        <v>1</v>
      </c>
      <c r="D388" t="s">
        <v>206</v>
      </c>
      <c r="E388" t="s">
        <v>317</v>
      </c>
      <c r="F388">
        <v>1.5</v>
      </c>
      <c r="G388">
        <v>567</v>
      </c>
      <c r="H388">
        <v>850.5</v>
      </c>
    </row>
    <row r="389" spans="1:8" x14ac:dyDescent="0.25">
      <c r="A389" t="s">
        <v>8</v>
      </c>
      <c r="B389" t="s">
        <v>147</v>
      </c>
      <c r="C389">
        <v>1</v>
      </c>
      <c r="D389" t="s">
        <v>296</v>
      </c>
      <c r="E389" t="s">
        <v>408</v>
      </c>
      <c r="F389">
        <v>0.1</v>
      </c>
      <c r="G389">
        <v>3577</v>
      </c>
      <c r="H389">
        <v>357.7</v>
      </c>
    </row>
    <row r="390" spans="1:8" x14ac:dyDescent="0.25">
      <c r="A390" t="s">
        <v>8</v>
      </c>
      <c r="B390" t="s">
        <v>147</v>
      </c>
      <c r="C390">
        <v>1</v>
      </c>
      <c r="D390" t="s">
        <v>290</v>
      </c>
      <c r="E390" t="s">
        <v>402</v>
      </c>
      <c r="F390">
        <v>0.1</v>
      </c>
      <c r="G390">
        <v>1411</v>
      </c>
      <c r="H390">
        <v>141.1</v>
      </c>
    </row>
    <row r="391" spans="1:8" x14ac:dyDescent="0.25">
      <c r="A391" t="s">
        <v>8</v>
      </c>
      <c r="B391" t="s">
        <v>147</v>
      </c>
      <c r="C391">
        <v>1</v>
      </c>
      <c r="D391" t="s">
        <v>217</v>
      </c>
      <c r="E391" t="s">
        <v>328</v>
      </c>
      <c r="F391">
        <v>0.11</v>
      </c>
      <c r="G391">
        <v>5793</v>
      </c>
      <c r="H391">
        <v>637.23</v>
      </c>
    </row>
    <row r="392" spans="1:8" x14ac:dyDescent="0.25">
      <c r="A392" t="s">
        <v>8</v>
      </c>
      <c r="B392" t="s">
        <v>147</v>
      </c>
      <c r="C392">
        <v>1</v>
      </c>
      <c r="D392" t="s">
        <v>297</v>
      </c>
      <c r="E392" t="s">
        <v>409</v>
      </c>
      <c r="F392">
        <v>0.3</v>
      </c>
      <c r="G392">
        <v>464</v>
      </c>
      <c r="H392">
        <v>139.19999999999999</v>
      </c>
    </row>
    <row r="393" spans="1:8" x14ac:dyDescent="0.25">
      <c r="A393" t="s">
        <v>8</v>
      </c>
      <c r="B393" t="s">
        <v>148</v>
      </c>
      <c r="C393">
        <v>1</v>
      </c>
      <c r="D393" t="s">
        <v>222</v>
      </c>
      <c r="E393" t="s">
        <v>333</v>
      </c>
      <c r="F393">
        <v>0.05</v>
      </c>
      <c r="G393">
        <v>8575</v>
      </c>
      <c r="H393">
        <v>428.75</v>
      </c>
    </row>
    <row r="394" spans="1:8" x14ac:dyDescent="0.25">
      <c r="A394" t="s">
        <v>8</v>
      </c>
      <c r="B394" t="s">
        <v>149</v>
      </c>
      <c r="C394">
        <v>1</v>
      </c>
      <c r="D394" t="s">
        <v>205</v>
      </c>
      <c r="E394" t="s">
        <v>316</v>
      </c>
      <c r="F394">
        <v>1.5</v>
      </c>
      <c r="G394">
        <v>873</v>
      </c>
      <c r="H394">
        <v>1309.5</v>
      </c>
    </row>
    <row r="395" spans="1:8" x14ac:dyDescent="0.25">
      <c r="A395" t="s">
        <v>8</v>
      </c>
      <c r="B395" t="s">
        <v>150</v>
      </c>
      <c r="C395">
        <v>1</v>
      </c>
      <c r="D395" t="s">
        <v>206</v>
      </c>
      <c r="E395" t="s">
        <v>317</v>
      </c>
      <c r="F395">
        <v>1</v>
      </c>
      <c r="G395">
        <v>567</v>
      </c>
      <c r="H395">
        <v>567</v>
      </c>
    </row>
    <row r="396" spans="1:8" x14ac:dyDescent="0.25">
      <c r="A396" t="s">
        <v>8</v>
      </c>
      <c r="B396" t="s">
        <v>150</v>
      </c>
      <c r="C396">
        <v>1</v>
      </c>
      <c r="D396" t="s">
        <v>205</v>
      </c>
      <c r="E396" t="s">
        <v>316</v>
      </c>
      <c r="F396">
        <v>1</v>
      </c>
      <c r="G396">
        <v>873</v>
      </c>
      <c r="H396">
        <v>873</v>
      </c>
    </row>
    <row r="397" spans="1:8" x14ac:dyDescent="0.25">
      <c r="A397" t="s">
        <v>8</v>
      </c>
      <c r="B397" t="s">
        <v>151</v>
      </c>
      <c r="C397">
        <v>1</v>
      </c>
      <c r="D397" t="s">
        <v>282</v>
      </c>
      <c r="E397" t="s">
        <v>394</v>
      </c>
      <c r="F397">
        <v>0.36</v>
      </c>
      <c r="G397">
        <v>2811</v>
      </c>
      <c r="H397">
        <v>1011.96</v>
      </c>
    </row>
    <row r="398" spans="1:8" x14ac:dyDescent="0.25">
      <c r="A398" t="s">
        <v>8</v>
      </c>
      <c r="B398" t="s">
        <v>151</v>
      </c>
      <c r="C398">
        <v>1</v>
      </c>
      <c r="D398" t="s">
        <v>298</v>
      </c>
      <c r="E398" t="s">
        <v>410</v>
      </c>
      <c r="F398">
        <v>1</v>
      </c>
      <c r="G398">
        <v>130</v>
      </c>
      <c r="H398">
        <v>130</v>
      </c>
    </row>
    <row r="399" spans="1:8" x14ac:dyDescent="0.25">
      <c r="A399" t="s">
        <v>8</v>
      </c>
      <c r="B399" t="s">
        <v>152</v>
      </c>
      <c r="C399">
        <v>1</v>
      </c>
      <c r="D399" t="s">
        <v>250</v>
      </c>
      <c r="E399" t="s">
        <v>361</v>
      </c>
      <c r="F399">
        <v>0.45</v>
      </c>
      <c r="G399">
        <v>8420</v>
      </c>
      <c r="H399">
        <v>3789</v>
      </c>
    </row>
    <row r="400" spans="1:8" x14ac:dyDescent="0.25">
      <c r="A400" t="s">
        <v>8</v>
      </c>
      <c r="B400" t="s">
        <v>153</v>
      </c>
      <c r="C400">
        <v>1</v>
      </c>
      <c r="D400" t="s">
        <v>235</v>
      </c>
      <c r="E400" t="s">
        <v>346</v>
      </c>
      <c r="F400">
        <v>0.25</v>
      </c>
      <c r="G400">
        <v>7380</v>
      </c>
      <c r="H400">
        <v>1845</v>
      </c>
    </row>
    <row r="401" spans="1:8" x14ac:dyDescent="0.25">
      <c r="A401" t="s">
        <v>8</v>
      </c>
      <c r="B401" t="s">
        <v>154</v>
      </c>
      <c r="C401">
        <v>1</v>
      </c>
      <c r="D401" t="s">
        <v>206</v>
      </c>
      <c r="E401" t="s">
        <v>317</v>
      </c>
      <c r="F401">
        <v>1</v>
      </c>
      <c r="G401">
        <v>567</v>
      </c>
      <c r="H401">
        <v>567</v>
      </c>
    </row>
    <row r="402" spans="1:8" x14ac:dyDescent="0.25">
      <c r="A402" t="s">
        <v>8</v>
      </c>
      <c r="B402" t="s">
        <v>154</v>
      </c>
      <c r="C402">
        <v>1</v>
      </c>
      <c r="D402" t="s">
        <v>205</v>
      </c>
      <c r="E402" t="s">
        <v>316</v>
      </c>
      <c r="F402">
        <v>1</v>
      </c>
      <c r="G402">
        <v>873</v>
      </c>
      <c r="H402">
        <v>873</v>
      </c>
    </row>
    <row r="403" spans="1:8" x14ac:dyDescent="0.25">
      <c r="A403" t="s">
        <v>8</v>
      </c>
      <c r="B403" t="s">
        <v>154</v>
      </c>
      <c r="C403">
        <v>1</v>
      </c>
      <c r="D403" t="s">
        <v>207</v>
      </c>
      <c r="E403" t="s">
        <v>318</v>
      </c>
      <c r="F403">
        <v>0.5</v>
      </c>
      <c r="G403">
        <v>893</v>
      </c>
      <c r="H403">
        <v>446.5</v>
      </c>
    </row>
    <row r="404" spans="1:8" x14ac:dyDescent="0.25">
      <c r="A404" t="s">
        <v>8</v>
      </c>
      <c r="B404" t="s">
        <v>154</v>
      </c>
      <c r="C404">
        <v>1</v>
      </c>
      <c r="D404" t="s">
        <v>227</v>
      </c>
      <c r="E404" t="s">
        <v>338</v>
      </c>
      <c r="F404">
        <v>0.5</v>
      </c>
      <c r="G404">
        <v>1411</v>
      </c>
      <c r="H404">
        <v>705.5</v>
      </c>
    </row>
    <row r="405" spans="1:8" x14ac:dyDescent="0.25">
      <c r="A405" t="s">
        <v>8</v>
      </c>
      <c r="B405" t="s">
        <v>155</v>
      </c>
      <c r="C405">
        <v>1</v>
      </c>
      <c r="D405" t="s">
        <v>217</v>
      </c>
      <c r="E405" t="s">
        <v>328</v>
      </c>
      <c r="F405">
        <v>0.01</v>
      </c>
      <c r="G405">
        <v>5793</v>
      </c>
      <c r="H405">
        <v>57.93</v>
      </c>
    </row>
    <row r="406" spans="1:8" x14ac:dyDescent="0.25">
      <c r="A406" t="s">
        <v>8</v>
      </c>
      <c r="B406" t="s">
        <v>156</v>
      </c>
      <c r="C406">
        <v>1</v>
      </c>
      <c r="D406" t="s">
        <v>205</v>
      </c>
      <c r="E406" t="s">
        <v>316</v>
      </c>
      <c r="F406">
        <v>2.5</v>
      </c>
      <c r="G406">
        <v>873</v>
      </c>
      <c r="H406">
        <v>2182.5</v>
      </c>
    </row>
    <row r="407" spans="1:8" x14ac:dyDescent="0.25">
      <c r="A407" t="s">
        <v>8</v>
      </c>
      <c r="B407" t="s">
        <v>157</v>
      </c>
      <c r="C407">
        <v>1</v>
      </c>
      <c r="D407" t="s">
        <v>207</v>
      </c>
      <c r="E407" t="s">
        <v>318</v>
      </c>
      <c r="F407">
        <v>0.5</v>
      </c>
      <c r="G407">
        <v>893</v>
      </c>
      <c r="H407">
        <v>446.5</v>
      </c>
    </row>
    <row r="408" spans="1:8" x14ac:dyDescent="0.25">
      <c r="A408" t="s">
        <v>8</v>
      </c>
      <c r="B408" t="s">
        <v>158</v>
      </c>
      <c r="C408">
        <v>1</v>
      </c>
      <c r="D408" t="s">
        <v>247</v>
      </c>
      <c r="E408" t="s">
        <v>358</v>
      </c>
      <c r="F408">
        <v>0.2</v>
      </c>
      <c r="G408">
        <v>22713</v>
      </c>
      <c r="H408">
        <v>4542.6000000000004</v>
      </c>
    </row>
    <row r="409" spans="1:8" x14ac:dyDescent="0.25">
      <c r="A409" t="s">
        <v>8</v>
      </c>
      <c r="B409" t="s">
        <v>159</v>
      </c>
      <c r="C409">
        <v>1</v>
      </c>
      <c r="D409" t="s">
        <v>232</v>
      </c>
      <c r="E409" t="s">
        <v>343</v>
      </c>
      <c r="F409">
        <v>0.5</v>
      </c>
      <c r="G409">
        <v>189</v>
      </c>
      <c r="H409">
        <v>94.5</v>
      </c>
    </row>
    <row r="410" spans="1:8" x14ac:dyDescent="0.25">
      <c r="A410" t="s">
        <v>8</v>
      </c>
      <c r="B410" t="s">
        <v>159</v>
      </c>
      <c r="C410">
        <v>1</v>
      </c>
      <c r="D410" t="s">
        <v>204</v>
      </c>
      <c r="E410" t="s">
        <v>315</v>
      </c>
      <c r="F410">
        <v>0.5</v>
      </c>
      <c r="G410">
        <v>547</v>
      </c>
      <c r="H410">
        <v>273.5</v>
      </c>
    </row>
    <row r="411" spans="1:8" x14ac:dyDescent="0.25">
      <c r="A411" t="s">
        <v>8</v>
      </c>
      <c r="B411" t="s">
        <v>159</v>
      </c>
      <c r="C411">
        <v>1</v>
      </c>
      <c r="D411" t="s">
        <v>206</v>
      </c>
      <c r="E411" t="s">
        <v>317</v>
      </c>
      <c r="F411">
        <v>0.5</v>
      </c>
      <c r="G411">
        <v>567</v>
      </c>
      <c r="H411">
        <v>283.5</v>
      </c>
    </row>
    <row r="412" spans="1:8" x14ac:dyDescent="0.25">
      <c r="A412" t="s">
        <v>8</v>
      </c>
      <c r="B412" t="s">
        <v>159</v>
      </c>
      <c r="C412">
        <v>1</v>
      </c>
      <c r="D412" t="s">
        <v>293</v>
      </c>
      <c r="E412" t="s">
        <v>405</v>
      </c>
      <c r="F412">
        <v>0.3</v>
      </c>
      <c r="G412">
        <v>554</v>
      </c>
      <c r="H412">
        <v>166.2</v>
      </c>
    </row>
    <row r="413" spans="1:8" x14ac:dyDescent="0.25">
      <c r="A413" t="s">
        <v>8</v>
      </c>
      <c r="B413" t="s">
        <v>159</v>
      </c>
      <c r="C413">
        <v>1</v>
      </c>
      <c r="D413" t="s">
        <v>299</v>
      </c>
      <c r="E413" t="s">
        <v>411</v>
      </c>
      <c r="F413">
        <v>0.3</v>
      </c>
      <c r="G413">
        <v>481</v>
      </c>
      <c r="H413">
        <v>144.30000000000001</v>
      </c>
    </row>
    <row r="414" spans="1:8" x14ac:dyDescent="0.25">
      <c r="A414" t="s">
        <v>8</v>
      </c>
      <c r="B414" t="s">
        <v>160</v>
      </c>
      <c r="C414">
        <v>1</v>
      </c>
      <c r="D414" t="s">
        <v>205</v>
      </c>
      <c r="E414" t="s">
        <v>316</v>
      </c>
      <c r="F414">
        <v>0.5</v>
      </c>
      <c r="G414">
        <v>873</v>
      </c>
      <c r="H414">
        <v>436.5</v>
      </c>
    </row>
    <row r="415" spans="1:8" x14ac:dyDescent="0.25">
      <c r="A415" t="s">
        <v>8</v>
      </c>
      <c r="B415" t="s">
        <v>160</v>
      </c>
      <c r="C415">
        <v>1</v>
      </c>
      <c r="D415" t="s">
        <v>207</v>
      </c>
      <c r="E415" t="s">
        <v>318</v>
      </c>
      <c r="F415">
        <v>0.5</v>
      </c>
      <c r="G415">
        <v>893</v>
      </c>
      <c r="H415">
        <v>446.5</v>
      </c>
    </row>
    <row r="416" spans="1:8" x14ac:dyDescent="0.25">
      <c r="A416" t="s">
        <v>8</v>
      </c>
      <c r="B416" t="s">
        <v>161</v>
      </c>
      <c r="C416">
        <v>1</v>
      </c>
      <c r="D416" t="s">
        <v>252</v>
      </c>
      <c r="E416" t="s">
        <v>363</v>
      </c>
      <c r="F416">
        <v>0.5</v>
      </c>
      <c r="G416">
        <v>464</v>
      </c>
      <c r="H416">
        <v>232</v>
      </c>
    </row>
    <row r="417" spans="1:8" x14ac:dyDescent="0.25">
      <c r="A417" t="s">
        <v>8</v>
      </c>
      <c r="B417" t="s">
        <v>162</v>
      </c>
      <c r="C417">
        <v>1</v>
      </c>
      <c r="D417" t="s">
        <v>205</v>
      </c>
      <c r="E417" t="s">
        <v>316</v>
      </c>
      <c r="F417">
        <v>3</v>
      </c>
      <c r="G417">
        <v>873</v>
      </c>
      <c r="H417">
        <v>2619</v>
      </c>
    </row>
    <row r="418" spans="1:8" x14ac:dyDescent="0.25">
      <c r="A418" t="s">
        <v>8</v>
      </c>
      <c r="B418" t="s">
        <v>162</v>
      </c>
      <c r="C418">
        <v>1</v>
      </c>
      <c r="D418" t="s">
        <v>207</v>
      </c>
      <c r="E418" t="s">
        <v>318</v>
      </c>
      <c r="F418">
        <v>0.5</v>
      </c>
      <c r="G418">
        <v>893</v>
      </c>
      <c r="H418">
        <v>446.5</v>
      </c>
    </row>
    <row r="419" spans="1:8" x14ac:dyDescent="0.25">
      <c r="A419" t="s">
        <v>8</v>
      </c>
      <c r="B419" t="s">
        <v>163</v>
      </c>
      <c r="C419">
        <v>1</v>
      </c>
      <c r="D419" t="s">
        <v>205</v>
      </c>
      <c r="E419" t="s">
        <v>316</v>
      </c>
      <c r="F419">
        <v>1</v>
      </c>
      <c r="G419">
        <v>873</v>
      </c>
      <c r="H419">
        <v>873</v>
      </c>
    </row>
    <row r="420" spans="1:8" x14ac:dyDescent="0.25">
      <c r="A420" t="s">
        <v>8</v>
      </c>
      <c r="B420" t="s">
        <v>164</v>
      </c>
      <c r="C420">
        <v>1</v>
      </c>
      <c r="D420" t="s">
        <v>206</v>
      </c>
      <c r="E420" t="s">
        <v>317</v>
      </c>
      <c r="F420">
        <v>1</v>
      </c>
      <c r="G420">
        <v>572</v>
      </c>
      <c r="H420">
        <v>572</v>
      </c>
    </row>
    <row r="421" spans="1:8" x14ac:dyDescent="0.25">
      <c r="A421" t="s">
        <v>8</v>
      </c>
      <c r="B421" t="s">
        <v>164</v>
      </c>
      <c r="C421">
        <v>1</v>
      </c>
      <c r="D421" t="s">
        <v>205</v>
      </c>
      <c r="E421" t="s">
        <v>316</v>
      </c>
      <c r="F421">
        <v>1.5</v>
      </c>
      <c r="G421">
        <v>873</v>
      </c>
      <c r="H421">
        <v>1309.5</v>
      </c>
    </row>
    <row r="422" spans="1:8" x14ac:dyDescent="0.25">
      <c r="A422" t="s">
        <v>8</v>
      </c>
      <c r="B422" t="s">
        <v>165</v>
      </c>
      <c r="C422">
        <v>1</v>
      </c>
      <c r="D422" t="s">
        <v>205</v>
      </c>
      <c r="E422" t="s">
        <v>316</v>
      </c>
      <c r="F422">
        <v>1</v>
      </c>
      <c r="G422">
        <v>873</v>
      </c>
      <c r="H422">
        <v>873</v>
      </c>
    </row>
    <row r="423" spans="1:8" x14ac:dyDescent="0.25">
      <c r="A423" t="s">
        <v>8</v>
      </c>
      <c r="B423" t="s">
        <v>166</v>
      </c>
      <c r="C423">
        <v>1</v>
      </c>
      <c r="D423" t="s">
        <v>213</v>
      </c>
      <c r="E423" t="s">
        <v>324</v>
      </c>
      <c r="F423">
        <v>1.2E-2</v>
      </c>
      <c r="G423">
        <v>13565</v>
      </c>
      <c r="H423">
        <v>162.78</v>
      </c>
    </row>
    <row r="424" spans="1:8" x14ac:dyDescent="0.25">
      <c r="A424" t="s">
        <v>8</v>
      </c>
      <c r="B424" t="s">
        <v>166</v>
      </c>
      <c r="C424">
        <v>1</v>
      </c>
      <c r="D424" t="s">
        <v>219</v>
      </c>
      <c r="E424" t="s">
        <v>330</v>
      </c>
      <c r="F424">
        <v>0.04</v>
      </c>
      <c r="G424">
        <v>11116</v>
      </c>
      <c r="H424">
        <v>444.64</v>
      </c>
    </row>
    <row r="425" spans="1:8" x14ac:dyDescent="0.25">
      <c r="A425" t="s">
        <v>8</v>
      </c>
      <c r="B425" t="s">
        <v>167</v>
      </c>
      <c r="C425">
        <v>1</v>
      </c>
      <c r="D425" t="s">
        <v>206</v>
      </c>
      <c r="E425" t="s">
        <v>317</v>
      </c>
      <c r="F425">
        <v>0.5</v>
      </c>
      <c r="G425">
        <v>572</v>
      </c>
      <c r="H425">
        <v>286</v>
      </c>
    </row>
    <row r="426" spans="1:8" x14ac:dyDescent="0.25">
      <c r="A426" t="s">
        <v>8</v>
      </c>
      <c r="B426" t="s">
        <v>167</v>
      </c>
      <c r="C426">
        <v>1</v>
      </c>
      <c r="D426" t="s">
        <v>207</v>
      </c>
      <c r="E426" t="s">
        <v>318</v>
      </c>
      <c r="F426">
        <v>0.5</v>
      </c>
      <c r="G426">
        <v>890</v>
      </c>
      <c r="H426">
        <v>445</v>
      </c>
    </row>
    <row r="427" spans="1:8" x14ac:dyDescent="0.25">
      <c r="A427" t="s">
        <v>8</v>
      </c>
      <c r="B427" t="s">
        <v>167</v>
      </c>
      <c r="C427">
        <v>1</v>
      </c>
      <c r="D427" t="s">
        <v>205</v>
      </c>
      <c r="E427" t="s">
        <v>316</v>
      </c>
      <c r="F427">
        <v>1.5</v>
      </c>
      <c r="G427">
        <v>873</v>
      </c>
      <c r="H427">
        <v>1309.5</v>
      </c>
    </row>
    <row r="428" spans="1:8" x14ac:dyDescent="0.25">
      <c r="A428" t="s">
        <v>8</v>
      </c>
      <c r="B428" t="s">
        <v>168</v>
      </c>
      <c r="C428">
        <v>1</v>
      </c>
      <c r="D428" t="s">
        <v>292</v>
      </c>
      <c r="E428" t="s">
        <v>404</v>
      </c>
      <c r="F428">
        <v>8.5000000000000006E-2</v>
      </c>
      <c r="G428">
        <v>42800</v>
      </c>
      <c r="H428">
        <v>3638</v>
      </c>
    </row>
    <row r="429" spans="1:8" x14ac:dyDescent="0.25">
      <c r="A429" t="s">
        <v>8</v>
      </c>
      <c r="B429" t="s">
        <v>169</v>
      </c>
      <c r="C429">
        <v>1</v>
      </c>
      <c r="D429" t="s">
        <v>233</v>
      </c>
      <c r="E429" t="s">
        <v>344</v>
      </c>
      <c r="F429">
        <v>1</v>
      </c>
      <c r="G429">
        <v>466</v>
      </c>
      <c r="H429">
        <v>466</v>
      </c>
    </row>
    <row r="430" spans="1:8" x14ac:dyDescent="0.25">
      <c r="A430" t="s">
        <v>8</v>
      </c>
      <c r="B430" t="s">
        <v>169</v>
      </c>
      <c r="C430">
        <v>1</v>
      </c>
      <c r="D430" t="s">
        <v>207</v>
      </c>
      <c r="E430" t="s">
        <v>318</v>
      </c>
      <c r="F430">
        <v>1</v>
      </c>
      <c r="G430">
        <v>890</v>
      </c>
      <c r="H430">
        <v>890</v>
      </c>
    </row>
    <row r="431" spans="1:8" x14ac:dyDescent="0.25">
      <c r="A431" t="s">
        <v>8</v>
      </c>
      <c r="B431" t="s">
        <v>170</v>
      </c>
      <c r="C431">
        <v>1</v>
      </c>
      <c r="D431" t="s">
        <v>205</v>
      </c>
      <c r="E431" t="s">
        <v>316</v>
      </c>
      <c r="F431">
        <v>0.5</v>
      </c>
      <c r="G431">
        <v>873</v>
      </c>
      <c r="H431">
        <v>436.5</v>
      </c>
    </row>
    <row r="432" spans="1:8" x14ac:dyDescent="0.25">
      <c r="A432" t="s">
        <v>8</v>
      </c>
      <c r="B432" t="s">
        <v>171</v>
      </c>
      <c r="C432">
        <v>1</v>
      </c>
      <c r="D432" t="s">
        <v>205</v>
      </c>
      <c r="E432" t="s">
        <v>316</v>
      </c>
      <c r="F432">
        <v>1</v>
      </c>
      <c r="G432">
        <v>873</v>
      </c>
      <c r="H432">
        <v>873</v>
      </c>
    </row>
    <row r="433" spans="1:8" x14ac:dyDescent="0.25">
      <c r="A433" t="s">
        <v>8</v>
      </c>
      <c r="B433" t="s">
        <v>171</v>
      </c>
      <c r="C433">
        <v>1</v>
      </c>
      <c r="D433" t="s">
        <v>206</v>
      </c>
      <c r="E433" t="s">
        <v>317</v>
      </c>
      <c r="F433">
        <v>0.5</v>
      </c>
      <c r="G433">
        <v>572</v>
      </c>
      <c r="H433">
        <v>286</v>
      </c>
    </row>
    <row r="434" spans="1:8" x14ac:dyDescent="0.25">
      <c r="A434" t="s">
        <v>8</v>
      </c>
      <c r="B434" t="s">
        <v>172</v>
      </c>
      <c r="C434">
        <v>1</v>
      </c>
      <c r="D434" t="s">
        <v>206</v>
      </c>
      <c r="E434" t="s">
        <v>317</v>
      </c>
      <c r="F434">
        <v>0.5</v>
      </c>
      <c r="G434">
        <v>572</v>
      </c>
      <c r="H434">
        <v>286</v>
      </c>
    </row>
    <row r="435" spans="1:8" x14ac:dyDescent="0.25">
      <c r="A435" t="s">
        <v>8</v>
      </c>
      <c r="B435" t="s">
        <v>172</v>
      </c>
      <c r="C435">
        <v>1</v>
      </c>
      <c r="D435" t="s">
        <v>205</v>
      </c>
      <c r="E435" t="s">
        <v>316</v>
      </c>
      <c r="F435">
        <v>0.5</v>
      </c>
      <c r="G435">
        <v>873</v>
      </c>
      <c r="H435">
        <v>436.5</v>
      </c>
    </row>
    <row r="436" spans="1:8" x14ac:dyDescent="0.25">
      <c r="A436" t="s">
        <v>8</v>
      </c>
      <c r="B436" t="s">
        <v>173</v>
      </c>
      <c r="C436">
        <v>1</v>
      </c>
      <c r="D436" t="s">
        <v>300</v>
      </c>
      <c r="E436" t="s">
        <v>412</v>
      </c>
      <c r="F436">
        <v>0.15</v>
      </c>
      <c r="G436">
        <v>3833</v>
      </c>
      <c r="H436">
        <v>574.95000000000005</v>
      </c>
    </row>
    <row r="437" spans="1:8" x14ac:dyDescent="0.25">
      <c r="A437" t="s">
        <v>8</v>
      </c>
      <c r="B437" t="s">
        <v>174</v>
      </c>
      <c r="C437">
        <v>1</v>
      </c>
      <c r="D437" t="s">
        <v>205</v>
      </c>
      <c r="E437" t="s">
        <v>316</v>
      </c>
      <c r="F437">
        <v>0.5</v>
      </c>
      <c r="G437">
        <v>899</v>
      </c>
      <c r="H437">
        <v>449.5</v>
      </c>
    </row>
    <row r="438" spans="1:8" x14ac:dyDescent="0.25">
      <c r="A438" t="s">
        <v>8</v>
      </c>
      <c r="B438" t="s">
        <v>174</v>
      </c>
      <c r="C438">
        <v>1</v>
      </c>
      <c r="D438" t="s">
        <v>205</v>
      </c>
      <c r="E438" t="s">
        <v>316</v>
      </c>
      <c r="F438">
        <v>0.5</v>
      </c>
      <c r="G438">
        <v>899</v>
      </c>
      <c r="H438">
        <v>449.5</v>
      </c>
    </row>
    <row r="439" spans="1:8" x14ac:dyDescent="0.25">
      <c r="A439" t="s">
        <v>8</v>
      </c>
      <c r="B439" t="s">
        <v>175</v>
      </c>
      <c r="C439">
        <v>1</v>
      </c>
      <c r="D439" t="s">
        <v>301</v>
      </c>
      <c r="E439" t="s">
        <v>413</v>
      </c>
      <c r="F439">
        <v>0.09</v>
      </c>
      <c r="G439">
        <v>36970</v>
      </c>
      <c r="H439">
        <v>3327.3</v>
      </c>
    </row>
    <row r="440" spans="1:8" x14ac:dyDescent="0.25">
      <c r="A440" t="s">
        <v>8</v>
      </c>
      <c r="B440" t="s">
        <v>176</v>
      </c>
      <c r="C440">
        <v>1</v>
      </c>
      <c r="D440" t="s">
        <v>302</v>
      </c>
      <c r="E440" t="s">
        <v>414</v>
      </c>
      <c r="F440">
        <v>0.04</v>
      </c>
      <c r="G440">
        <v>16544</v>
      </c>
      <c r="H440">
        <v>661.76</v>
      </c>
    </row>
    <row r="441" spans="1:8" x14ac:dyDescent="0.25">
      <c r="A441" t="s">
        <v>8</v>
      </c>
      <c r="B441" t="s">
        <v>177</v>
      </c>
      <c r="C441">
        <v>1</v>
      </c>
      <c r="D441" t="s">
        <v>205</v>
      </c>
      <c r="E441" t="s">
        <v>316</v>
      </c>
      <c r="F441">
        <v>1</v>
      </c>
      <c r="G441">
        <v>899</v>
      </c>
      <c r="H441">
        <v>899</v>
      </c>
    </row>
    <row r="442" spans="1:8" x14ac:dyDescent="0.25">
      <c r="A442" t="s">
        <v>8</v>
      </c>
      <c r="B442" t="s">
        <v>177</v>
      </c>
      <c r="C442">
        <v>1</v>
      </c>
      <c r="D442" t="s">
        <v>207</v>
      </c>
      <c r="E442" t="s">
        <v>318</v>
      </c>
      <c r="F442">
        <v>1</v>
      </c>
      <c r="G442">
        <v>919</v>
      </c>
      <c r="H442">
        <v>919</v>
      </c>
    </row>
    <row r="443" spans="1:8" x14ac:dyDescent="0.25">
      <c r="A443" t="s">
        <v>8</v>
      </c>
      <c r="B443" t="s">
        <v>178</v>
      </c>
      <c r="C443">
        <v>1</v>
      </c>
      <c r="D443" t="s">
        <v>233</v>
      </c>
      <c r="E443" t="s">
        <v>344</v>
      </c>
      <c r="F443">
        <v>1</v>
      </c>
      <c r="G443">
        <v>479</v>
      </c>
      <c r="H443">
        <v>479</v>
      </c>
    </row>
    <row r="444" spans="1:8" x14ac:dyDescent="0.25">
      <c r="A444" t="s">
        <v>8</v>
      </c>
      <c r="B444" t="s">
        <v>178</v>
      </c>
      <c r="C444">
        <v>1</v>
      </c>
      <c r="D444" t="s">
        <v>205</v>
      </c>
      <c r="E444" t="s">
        <v>316</v>
      </c>
      <c r="F444">
        <v>1</v>
      </c>
      <c r="G444">
        <v>899</v>
      </c>
      <c r="H444">
        <v>899</v>
      </c>
    </row>
    <row r="445" spans="1:8" x14ac:dyDescent="0.25">
      <c r="A445" t="s">
        <v>8</v>
      </c>
      <c r="B445" t="s">
        <v>179</v>
      </c>
      <c r="C445">
        <v>1</v>
      </c>
      <c r="D445" t="s">
        <v>222</v>
      </c>
      <c r="E445" t="s">
        <v>333</v>
      </c>
      <c r="F445">
        <v>0.2</v>
      </c>
      <c r="G445">
        <v>9143</v>
      </c>
      <c r="H445">
        <v>1828.6</v>
      </c>
    </row>
    <row r="446" spans="1:8" x14ac:dyDescent="0.25">
      <c r="A446" t="s">
        <v>8</v>
      </c>
      <c r="B446" t="s">
        <v>180</v>
      </c>
      <c r="C446">
        <v>1</v>
      </c>
      <c r="D446" t="s">
        <v>233</v>
      </c>
      <c r="E446" t="s">
        <v>344</v>
      </c>
      <c r="F446">
        <v>0.5</v>
      </c>
      <c r="G446">
        <v>479</v>
      </c>
      <c r="H446">
        <v>239.5</v>
      </c>
    </row>
    <row r="447" spans="1:8" x14ac:dyDescent="0.25">
      <c r="A447" t="s">
        <v>8</v>
      </c>
      <c r="B447" t="s">
        <v>180</v>
      </c>
      <c r="C447">
        <v>1</v>
      </c>
      <c r="D447" t="s">
        <v>208</v>
      </c>
      <c r="E447" t="s">
        <v>319</v>
      </c>
      <c r="F447">
        <v>0.5</v>
      </c>
      <c r="G447">
        <v>758</v>
      </c>
      <c r="H447">
        <v>379</v>
      </c>
    </row>
    <row r="448" spans="1:8" x14ac:dyDescent="0.25">
      <c r="A448" t="s">
        <v>8</v>
      </c>
      <c r="B448" t="s">
        <v>180</v>
      </c>
      <c r="C448">
        <v>1</v>
      </c>
      <c r="D448" t="s">
        <v>205</v>
      </c>
      <c r="E448" t="s">
        <v>316</v>
      </c>
      <c r="F448">
        <v>1</v>
      </c>
      <c r="G448">
        <v>899</v>
      </c>
      <c r="H448">
        <v>899</v>
      </c>
    </row>
    <row r="449" spans="1:8" x14ac:dyDescent="0.25">
      <c r="A449" t="s">
        <v>8</v>
      </c>
      <c r="B449" t="s">
        <v>180</v>
      </c>
      <c r="C449">
        <v>1</v>
      </c>
      <c r="D449" t="s">
        <v>207</v>
      </c>
      <c r="E449" t="s">
        <v>318</v>
      </c>
      <c r="F449">
        <v>0.5</v>
      </c>
      <c r="G449">
        <v>919</v>
      </c>
      <c r="H449">
        <v>459.5</v>
      </c>
    </row>
    <row r="450" spans="1:8" x14ac:dyDescent="0.25">
      <c r="A450" t="s">
        <v>8</v>
      </c>
      <c r="B450" t="s">
        <v>180</v>
      </c>
      <c r="C450">
        <v>1</v>
      </c>
      <c r="D450" t="s">
        <v>205</v>
      </c>
      <c r="E450" t="s">
        <v>316</v>
      </c>
      <c r="F450">
        <v>0.5</v>
      </c>
      <c r="G450">
        <v>899</v>
      </c>
      <c r="H450">
        <v>449.5</v>
      </c>
    </row>
    <row r="451" spans="1:8" x14ac:dyDescent="0.25">
      <c r="A451" t="s">
        <v>8</v>
      </c>
      <c r="B451" t="s">
        <v>180</v>
      </c>
      <c r="C451">
        <v>1</v>
      </c>
      <c r="D451" t="s">
        <v>232</v>
      </c>
      <c r="E451" t="s">
        <v>343</v>
      </c>
      <c r="F451">
        <v>0.5</v>
      </c>
      <c r="G451">
        <v>195</v>
      </c>
      <c r="H451">
        <v>97.5</v>
      </c>
    </row>
    <row r="452" spans="1:8" x14ac:dyDescent="0.25">
      <c r="A452" t="s">
        <v>8</v>
      </c>
      <c r="B452" t="s">
        <v>181</v>
      </c>
      <c r="C452">
        <v>1</v>
      </c>
      <c r="D452" t="s">
        <v>205</v>
      </c>
      <c r="E452" t="s">
        <v>316</v>
      </c>
      <c r="F452">
        <v>3</v>
      </c>
      <c r="G452">
        <v>899</v>
      </c>
      <c r="H452">
        <v>2697</v>
      </c>
    </row>
    <row r="453" spans="1:8" x14ac:dyDescent="0.25">
      <c r="A453" t="s">
        <v>8</v>
      </c>
      <c r="B453" t="s">
        <v>181</v>
      </c>
      <c r="C453">
        <v>1</v>
      </c>
      <c r="D453" t="s">
        <v>207</v>
      </c>
      <c r="E453" t="s">
        <v>318</v>
      </c>
      <c r="F453">
        <v>0.5</v>
      </c>
      <c r="G453">
        <v>919</v>
      </c>
      <c r="H453">
        <v>459.5</v>
      </c>
    </row>
    <row r="454" spans="1:8" x14ac:dyDescent="0.25">
      <c r="A454" t="s">
        <v>8</v>
      </c>
      <c r="B454" t="s">
        <v>181</v>
      </c>
      <c r="C454">
        <v>1</v>
      </c>
      <c r="D454" t="s">
        <v>206</v>
      </c>
      <c r="E454" t="s">
        <v>317</v>
      </c>
      <c r="F454">
        <v>0.5</v>
      </c>
      <c r="G454">
        <v>581</v>
      </c>
      <c r="H454">
        <v>290.5</v>
      </c>
    </row>
    <row r="455" spans="1:8" x14ac:dyDescent="0.25">
      <c r="A455" t="s">
        <v>8</v>
      </c>
      <c r="B455" t="s">
        <v>182</v>
      </c>
      <c r="C455">
        <v>1</v>
      </c>
      <c r="D455" t="s">
        <v>205</v>
      </c>
      <c r="E455" t="s">
        <v>316</v>
      </c>
      <c r="F455">
        <v>0.5</v>
      </c>
      <c r="G455">
        <v>899</v>
      </c>
      <c r="H455">
        <v>449.5</v>
      </c>
    </row>
    <row r="456" spans="1:8" x14ac:dyDescent="0.25">
      <c r="A456" t="s">
        <v>8</v>
      </c>
      <c r="B456" t="s">
        <v>182</v>
      </c>
      <c r="C456">
        <v>1</v>
      </c>
      <c r="D456" t="s">
        <v>206</v>
      </c>
      <c r="E456" t="s">
        <v>317</v>
      </c>
      <c r="F456">
        <v>0.5</v>
      </c>
      <c r="G456">
        <v>581</v>
      </c>
      <c r="H456">
        <v>290.5</v>
      </c>
    </row>
    <row r="457" spans="1:8" x14ac:dyDescent="0.25">
      <c r="A457" t="s">
        <v>8</v>
      </c>
      <c r="B457" t="s">
        <v>182</v>
      </c>
      <c r="C457">
        <v>1</v>
      </c>
      <c r="D457" t="s">
        <v>207</v>
      </c>
      <c r="E457" t="s">
        <v>318</v>
      </c>
      <c r="F457">
        <v>0.5</v>
      </c>
      <c r="G457">
        <v>919</v>
      </c>
      <c r="H457">
        <v>459.5</v>
      </c>
    </row>
    <row r="458" spans="1:8" x14ac:dyDescent="0.25">
      <c r="A458" t="s">
        <v>8</v>
      </c>
      <c r="B458" t="s">
        <v>182</v>
      </c>
      <c r="C458">
        <v>1</v>
      </c>
      <c r="D458" t="s">
        <v>203</v>
      </c>
      <c r="E458" t="s">
        <v>314</v>
      </c>
      <c r="F458">
        <v>0.5</v>
      </c>
      <c r="G458">
        <v>572</v>
      </c>
      <c r="H458">
        <v>286</v>
      </c>
    </row>
    <row r="459" spans="1:8" x14ac:dyDescent="0.25">
      <c r="A459" t="s">
        <v>8</v>
      </c>
      <c r="B459" t="s">
        <v>182</v>
      </c>
      <c r="C459">
        <v>1</v>
      </c>
      <c r="D459" t="s">
        <v>232</v>
      </c>
      <c r="E459" t="s">
        <v>343</v>
      </c>
      <c r="F459">
        <v>0.5</v>
      </c>
      <c r="G459">
        <v>195</v>
      </c>
      <c r="H459">
        <v>97.5</v>
      </c>
    </row>
    <row r="460" spans="1:8" x14ac:dyDescent="0.25">
      <c r="A460" t="s">
        <v>8</v>
      </c>
      <c r="B460" t="s">
        <v>183</v>
      </c>
      <c r="C460">
        <v>1</v>
      </c>
      <c r="D460" t="s">
        <v>207</v>
      </c>
      <c r="E460" t="s">
        <v>318</v>
      </c>
      <c r="F460">
        <v>0.5</v>
      </c>
      <c r="G460">
        <v>919</v>
      </c>
      <c r="H460">
        <v>459.5</v>
      </c>
    </row>
    <row r="461" spans="1:8" x14ac:dyDescent="0.25">
      <c r="A461" t="s">
        <v>8</v>
      </c>
      <c r="B461" t="s">
        <v>183</v>
      </c>
      <c r="C461">
        <v>1</v>
      </c>
      <c r="D461" t="s">
        <v>205</v>
      </c>
      <c r="E461" t="s">
        <v>316</v>
      </c>
      <c r="F461">
        <v>0.5</v>
      </c>
      <c r="G461">
        <v>899</v>
      </c>
      <c r="H461">
        <v>449.5</v>
      </c>
    </row>
    <row r="462" spans="1:8" x14ac:dyDescent="0.25">
      <c r="A462" t="s">
        <v>8</v>
      </c>
      <c r="B462" t="s">
        <v>184</v>
      </c>
      <c r="C462">
        <v>1</v>
      </c>
      <c r="D462" t="s">
        <v>303</v>
      </c>
      <c r="E462" t="s">
        <v>415</v>
      </c>
      <c r="F462">
        <v>0.3</v>
      </c>
      <c r="G462">
        <v>2288</v>
      </c>
      <c r="H462">
        <v>686.4</v>
      </c>
    </row>
    <row r="463" spans="1:8" x14ac:dyDescent="0.25">
      <c r="A463" t="s">
        <v>8</v>
      </c>
      <c r="B463" t="s">
        <v>184</v>
      </c>
      <c r="C463">
        <v>1</v>
      </c>
      <c r="D463" t="s">
        <v>205</v>
      </c>
      <c r="E463" t="s">
        <v>316</v>
      </c>
      <c r="F463">
        <v>1.5</v>
      </c>
      <c r="G463">
        <v>899</v>
      </c>
      <c r="H463">
        <v>1348.5</v>
      </c>
    </row>
    <row r="464" spans="1:8" x14ac:dyDescent="0.25">
      <c r="A464" t="s">
        <v>8</v>
      </c>
      <c r="B464" t="s">
        <v>184</v>
      </c>
      <c r="C464">
        <v>1</v>
      </c>
      <c r="D464" t="s">
        <v>304</v>
      </c>
      <c r="E464" t="s">
        <v>416</v>
      </c>
      <c r="F464">
        <v>0.2</v>
      </c>
      <c r="G464">
        <v>1735</v>
      </c>
      <c r="H464">
        <v>347</v>
      </c>
    </row>
    <row r="465" spans="1:8" x14ac:dyDescent="0.25">
      <c r="A465" t="s">
        <v>8</v>
      </c>
      <c r="B465" t="s">
        <v>184</v>
      </c>
      <c r="C465">
        <v>1</v>
      </c>
      <c r="D465" t="s">
        <v>305</v>
      </c>
      <c r="E465" t="s">
        <v>417</v>
      </c>
      <c r="F465">
        <v>0.24</v>
      </c>
      <c r="G465">
        <v>19544</v>
      </c>
      <c r="H465">
        <v>4690.5600000000004</v>
      </c>
    </row>
    <row r="466" spans="1:8" x14ac:dyDescent="0.25">
      <c r="A466" t="s">
        <v>8</v>
      </c>
      <c r="B466" t="s">
        <v>184</v>
      </c>
      <c r="C466">
        <v>1</v>
      </c>
      <c r="D466" t="s">
        <v>222</v>
      </c>
      <c r="E466" t="s">
        <v>333</v>
      </c>
      <c r="F466">
        <v>0.09</v>
      </c>
      <c r="G466">
        <v>9143</v>
      </c>
      <c r="H466">
        <v>822.87</v>
      </c>
    </row>
    <row r="467" spans="1:8" x14ac:dyDescent="0.25">
      <c r="A467" t="s">
        <v>8</v>
      </c>
      <c r="B467" t="s">
        <v>185</v>
      </c>
      <c r="C467">
        <v>1</v>
      </c>
      <c r="D467" t="s">
        <v>306</v>
      </c>
      <c r="E467" t="s">
        <v>418</v>
      </c>
      <c r="F467">
        <v>0.5</v>
      </c>
      <c r="G467">
        <v>543</v>
      </c>
      <c r="H467">
        <v>271.5</v>
      </c>
    </row>
    <row r="468" spans="1:8" x14ac:dyDescent="0.25">
      <c r="A468" t="s">
        <v>8</v>
      </c>
      <c r="B468" t="s">
        <v>186</v>
      </c>
      <c r="C468">
        <v>1</v>
      </c>
      <c r="D468" t="s">
        <v>307</v>
      </c>
      <c r="E468" t="s">
        <v>419</v>
      </c>
      <c r="F468">
        <v>0.5</v>
      </c>
      <c r="G468">
        <v>948</v>
      </c>
      <c r="H468">
        <v>474</v>
      </c>
    </row>
    <row r="469" spans="1:8" x14ac:dyDescent="0.25">
      <c r="A469" t="s">
        <v>8</v>
      </c>
      <c r="B469" t="s">
        <v>186</v>
      </c>
      <c r="C469">
        <v>1</v>
      </c>
      <c r="D469" t="s">
        <v>308</v>
      </c>
      <c r="E469" t="s">
        <v>420</v>
      </c>
      <c r="F469">
        <v>0.5</v>
      </c>
      <c r="G469">
        <v>1375</v>
      </c>
      <c r="H469">
        <v>687.5</v>
      </c>
    </row>
    <row r="470" spans="1:8" x14ac:dyDescent="0.25">
      <c r="A470" t="s">
        <v>8</v>
      </c>
      <c r="B470" t="s">
        <v>186</v>
      </c>
      <c r="C470">
        <v>1</v>
      </c>
      <c r="D470" t="s">
        <v>239</v>
      </c>
      <c r="E470" t="s">
        <v>350</v>
      </c>
      <c r="F470">
        <v>0.01</v>
      </c>
      <c r="G470">
        <v>14973</v>
      </c>
      <c r="H470">
        <v>149.72999999999999</v>
      </c>
    </row>
    <row r="471" spans="1:8" x14ac:dyDescent="0.25">
      <c r="A471" t="s">
        <v>8</v>
      </c>
      <c r="B471" t="s">
        <v>187</v>
      </c>
      <c r="C471">
        <v>1</v>
      </c>
      <c r="D471" t="s">
        <v>309</v>
      </c>
      <c r="E471" t="s">
        <v>421</v>
      </c>
      <c r="F471">
        <v>0.2</v>
      </c>
      <c r="G471">
        <v>2761</v>
      </c>
      <c r="H471">
        <v>552.20000000000005</v>
      </c>
    </row>
    <row r="472" spans="1:8" x14ac:dyDescent="0.25">
      <c r="A472" t="s">
        <v>8</v>
      </c>
      <c r="B472" t="s">
        <v>188</v>
      </c>
      <c r="C472">
        <v>1</v>
      </c>
      <c r="D472" t="s">
        <v>283</v>
      </c>
      <c r="E472" t="s">
        <v>395</v>
      </c>
      <c r="F472">
        <v>0.33</v>
      </c>
      <c r="G472">
        <v>4154.3500000000004</v>
      </c>
      <c r="H472">
        <v>1370.94</v>
      </c>
    </row>
    <row r="473" spans="1:8" x14ac:dyDescent="0.25">
      <c r="A473" t="s">
        <v>8</v>
      </c>
      <c r="B473" t="s">
        <v>188</v>
      </c>
      <c r="C473">
        <v>1</v>
      </c>
      <c r="D473" t="s">
        <v>283</v>
      </c>
      <c r="E473" t="s">
        <v>395</v>
      </c>
      <c r="F473">
        <v>0.36</v>
      </c>
      <c r="G473">
        <v>4154.3500000000004</v>
      </c>
      <c r="H473">
        <v>1495.57</v>
      </c>
    </row>
    <row r="474" spans="1:8" x14ac:dyDescent="0.25">
      <c r="A474" t="s">
        <v>8</v>
      </c>
      <c r="B474" t="s">
        <v>188</v>
      </c>
      <c r="C474">
        <v>1</v>
      </c>
      <c r="D474" t="s">
        <v>283</v>
      </c>
      <c r="E474" t="s">
        <v>395</v>
      </c>
      <c r="F474">
        <v>0.33</v>
      </c>
      <c r="G474">
        <v>4154.3500000000004</v>
      </c>
      <c r="H474">
        <v>1370.94</v>
      </c>
    </row>
    <row r="475" spans="1:8" x14ac:dyDescent="0.25">
      <c r="A475" t="s">
        <v>8</v>
      </c>
      <c r="B475" t="s">
        <v>188</v>
      </c>
      <c r="C475">
        <v>1</v>
      </c>
      <c r="D475" t="s">
        <v>283</v>
      </c>
      <c r="E475" t="s">
        <v>395</v>
      </c>
      <c r="F475">
        <v>0.18</v>
      </c>
      <c r="G475">
        <v>4154.3500000000004</v>
      </c>
      <c r="H475">
        <v>747.78</v>
      </c>
    </row>
    <row r="476" spans="1:8" x14ac:dyDescent="0.25">
      <c r="A476" t="s">
        <v>8</v>
      </c>
      <c r="B476" t="s">
        <v>188</v>
      </c>
      <c r="C476">
        <v>1</v>
      </c>
      <c r="D476" t="s">
        <v>310</v>
      </c>
      <c r="E476" t="s">
        <v>422</v>
      </c>
      <c r="F476">
        <v>0.16500000000000001</v>
      </c>
      <c r="G476">
        <v>5025.04</v>
      </c>
      <c r="H476">
        <v>829.13</v>
      </c>
    </row>
    <row r="477" spans="1:8" x14ac:dyDescent="0.25">
      <c r="A477" t="s">
        <v>8</v>
      </c>
      <c r="B477" t="s">
        <v>188</v>
      </c>
      <c r="C477">
        <v>1</v>
      </c>
      <c r="D477" t="s">
        <v>310</v>
      </c>
      <c r="E477" t="s">
        <v>422</v>
      </c>
      <c r="F477">
        <v>0.02</v>
      </c>
      <c r="G477">
        <v>5025.04</v>
      </c>
      <c r="H477">
        <v>100.5</v>
      </c>
    </row>
    <row r="478" spans="1:8" x14ac:dyDescent="0.25">
      <c r="A478" t="s">
        <v>8</v>
      </c>
      <c r="B478" t="s">
        <v>188</v>
      </c>
      <c r="C478">
        <v>1</v>
      </c>
      <c r="D478" t="s">
        <v>310</v>
      </c>
      <c r="E478" t="s">
        <v>422</v>
      </c>
      <c r="F478">
        <v>0.04</v>
      </c>
      <c r="G478">
        <v>5025.04</v>
      </c>
      <c r="H478">
        <v>201</v>
      </c>
    </row>
    <row r="479" spans="1:8" x14ac:dyDescent="0.25">
      <c r="A479" t="s">
        <v>8</v>
      </c>
      <c r="B479" t="s">
        <v>188</v>
      </c>
      <c r="C479">
        <v>1</v>
      </c>
      <c r="D479" t="s">
        <v>310</v>
      </c>
      <c r="E479" t="s">
        <v>422</v>
      </c>
      <c r="F479">
        <v>0.16500000000000001</v>
      </c>
      <c r="G479">
        <v>5025.04</v>
      </c>
      <c r="H479">
        <v>829.13</v>
      </c>
    </row>
    <row r="480" spans="1:8" x14ac:dyDescent="0.25">
      <c r="A480" t="s">
        <v>8</v>
      </c>
      <c r="B480" t="s">
        <v>188</v>
      </c>
      <c r="C480">
        <v>2</v>
      </c>
      <c r="D480" t="s">
        <v>282</v>
      </c>
      <c r="E480" t="s">
        <v>394</v>
      </c>
      <c r="F480">
        <v>0.32</v>
      </c>
      <c r="G480">
        <v>2611.04</v>
      </c>
      <c r="H480">
        <v>835.53</v>
      </c>
    </row>
    <row r="481" spans="1:8" x14ac:dyDescent="0.25">
      <c r="A481" t="s">
        <v>8</v>
      </c>
      <c r="B481" t="s">
        <v>188</v>
      </c>
      <c r="C481">
        <v>2</v>
      </c>
      <c r="D481" t="s">
        <v>282</v>
      </c>
      <c r="E481" t="s">
        <v>394</v>
      </c>
      <c r="F481">
        <v>0.16</v>
      </c>
      <c r="G481">
        <v>2611.04</v>
      </c>
      <c r="H481">
        <v>417.77</v>
      </c>
    </row>
    <row r="482" spans="1:8" x14ac:dyDescent="0.25">
      <c r="A482" t="s">
        <v>8</v>
      </c>
      <c r="B482" t="s">
        <v>188</v>
      </c>
      <c r="C482">
        <v>2</v>
      </c>
      <c r="D482" t="s">
        <v>282</v>
      </c>
      <c r="E482" t="s">
        <v>394</v>
      </c>
      <c r="F482">
        <v>0.36</v>
      </c>
      <c r="G482">
        <v>2611.04</v>
      </c>
      <c r="H482">
        <v>939.97</v>
      </c>
    </row>
    <row r="483" spans="1:8" x14ac:dyDescent="0.25">
      <c r="A483" t="s">
        <v>8</v>
      </c>
      <c r="B483" t="s">
        <v>188</v>
      </c>
      <c r="C483">
        <v>2</v>
      </c>
      <c r="D483" t="s">
        <v>209</v>
      </c>
      <c r="E483" t="s">
        <v>320</v>
      </c>
      <c r="F483">
        <v>2.08</v>
      </c>
      <c r="G483">
        <v>1987.2</v>
      </c>
      <c r="H483">
        <v>4133.38</v>
      </c>
    </row>
    <row r="484" spans="1:8" x14ac:dyDescent="0.25">
      <c r="A484" t="s">
        <v>8</v>
      </c>
      <c r="B484" t="s">
        <v>188</v>
      </c>
      <c r="C484">
        <v>2</v>
      </c>
      <c r="D484" t="s">
        <v>209</v>
      </c>
      <c r="E484" t="s">
        <v>320</v>
      </c>
      <c r="F484">
        <v>0.8</v>
      </c>
      <c r="G484">
        <v>1987.2</v>
      </c>
      <c r="H484">
        <v>1589.76</v>
      </c>
    </row>
    <row r="485" spans="1:8" x14ac:dyDescent="0.25">
      <c r="A485" t="s">
        <v>8</v>
      </c>
      <c r="B485" t="s">
        <v>188</v>
      </c>
      <c r="C485">
        <v>2</v>
      </c>
      <c r="D485" t="s">
        <v>209</v>
      </c>
      <c r="E485" t="s">
        <v>320</v>
      </c>
      <c r="F485">
        <v>1.2</v>
      </c>
      <c r="G485">
        <v>1987.2</v>
      </c>
      <c r="H485">
        <v>2384.64</v>
      </c>
    </row>
    <row r="486" spans="1:8" x14ac:dyDescent="0.25">
      <c r="A486" t="s">
        <v>8</v>
      </c>
      <c r="B486" t="s">
        <v>188</v>
      </c>
      <c r="C486">
        <v>2</v>
      </c>
      <c r="D486" t="s">
        <v>209</v>
      </c>
      <c r="E486" t="s">
        <v>320</v>
      </c>
      <c r="F486">
        <v>0.24</v>
      </c>
      <c r="G486">
        <v>1987.2</v>
      </c>
      <c r="H486">
        <v>476.93</v>
      </c>
    </row>
    <row r="487" spans="1:8" x14ac:dyDescent="0.25">
      <c r="A487" t="s">
        <v>8</v>
      </c>
      <c r="B487" t="s">
        <v>188</v>
      </c>
      <c r="C487">
        <v>3</v>
      </c>
      <c r="D487" t="s">
        <v>209</v>
      </c>
      <c r="E487" t="s">
        <v>320</v>
      </c>
      <c r="F487">
        <v>0.18</v>
      </c>
      <c r="G487">
        <v>1987.2</v>
      </c>
      <c r="H487">
        <v>357.7</v>
      </c>
    </row>
    <row r="488" spans="1:8" x14ac:dyDescent="0.25">
      <c r="A488" t="s">
        <v>8</v>
      </c>
      <c r="B488" t="s">
        <v>188</v>
      </c>
      <c r="C488">
        <v>3</v>
      </c>
      <c r="D488" t="s">
        <v>209</v>
      </c>
      <c r="E488" t="s">
        <v>320</v>
      </c>
      <c r="F488">
        <v>0.06</v>
      </c>
      <c r="G488">
        <v>1987.2</v>
      </c>
      <c r="H488">
        <v>119.23</v>
      </c>
    </row>
    <row r="489" spans="1:8" x14ac:dyDescent="0.25">
      <c r="A489" t="s">
        <v>8</v>
      </c>
      <c r="B489" t="s">
        <v>188</v>
      </c>
      <c r="C489">
        <v>3</v>
      </c>
      <c r="D489" t="s">
        <v>209</v>
      </c>
      <c r="E489" t="s">
        <v>320</v>
      </c>
      <c r="F489">
        <v>0.24</v>
      </c>
      <c r="G489">
        <v>1987.2</v>
      </c>
      <c r="H489">
        <v>476.93</v>
      </c>
    </row>
    <row r="490" spans="1:8" x14ac:dyDescent="0.25">
      <c r="A490" t="s">
        <v>8</v>
      </c>
      <c r="B490" t="s">
        <v>188</v>
      </c>
      <c r="C490">
        <v>3</v>
      </c>
      <c r="D490" t="s">
        <v>209</v>
      </c>
      <c r="E490" t="s">
        <v>320</v>
      </c>
      <c r="F490">
        <v>0.18</v>
      </c>
      <c r="G490">
        <v>1987.2</v>
      </c>
      <c r="H490">
        <v>357.7</v>
      </c>
    </row>
    <row r="491" spans="1:8" x14ac:dyDescent="0.25">
      <c r="A491" t="s">
        <v>8</v>
      </c>
      <c r="B491" t="s">
        <v>188</v>
      </c>
      <c r="C491">
        <v>3</v>
      </c>
      <c r="D491" t="s">
        <v>209</v>
      </c>
      <c r="E491" t="s">
        <v>320</v>
      </c>
      <c r="F491">
        <v>0.06</v>
      </c>
      <c r="G491">
        <v>1987.2</v>
      </c>
      <c r="H491">
        <v>119.23</v>
      </c>
    </row>
    <row r="492" spans="1:8" x14ac:dyDescent="0.25">
      <c r="A492" t="s">
        <v>8</v>
      </c>
      <c r="B492" t="s">
        <v>189</v>
      </c>
      <c r="C492">
        <v>1</v>
      </c>
      <c r="D492" t="s">
        <v>206</v>
      </c>
      <c r="E492" t="s">
        <v>317</v>
      </c>
      <c r="F492">
        <v>0.5</v>
      </c>
      <c r="G492">
        <v>581</v>
      </c>
      <c r="H492">
        <v>290.5</v>
      </c>
    </row>
    <row r="493" spans="1:8" x14ac:dyDescent="0.25">
      <c r="A493" t="s">
        <v>8</v>
      </c>
      <c r="B493" t="s">
        <v>189</v>
      </c>
      <c r="C493">
        <v>1</v>
      </c>
      <c r="D493" t="s">
        <v>205</v>
      </c>
      <c r="E493" t="s">
        <v>316</v>
      </c>
      <c r="F493">
        <v>0.5</v>
      </c>
      <c r="G493">
        <v>899</v>
      </c>
      <c r="H493">
        <v>449.5</v>
      </c>
    </row>
    <row r="494" spans="1:8" x14ac:dyDescent="0.25">
      <c r="A494" t="s">
        <v>8</v>
      </c>
      <c r="B494" t="s">
        <v>189</v>
      </c>
      <c r="C494">
        <v>1</v>
      </c>
      <c r="D494" t="s">
        <v>207</v>
      </c>
      <c r="E494" t="s">
        <v>318</v>
      </c>
      <c r="F494">
        <v>0.5</v>
      </c>
      <c r="G494">
        <v>919</v>
      </c>
      <c r="H494">
        <v>459.5</v>
      </c>
    </row>
    <row r="495" spans="1:8" x14ac:dyDescent="0.25">
      <c r="A495" t="s">
        <v>8</v>
      </c>
      <c r="B495" t="s">
        <v>190</v>
      </c>
      <c r="C495">
        <v>1</v>
      </c>
      <c r="D495" t="s">
        <v>206</v>
      </c>
      <c r="E495" t="s">
        <v>317</v>
      </c>
      <c r="F495">
        <v>0.5</v>
      </c>
      <c r="G495">
        <v>605</v>
      </c>
      <c r="H495">
        <v>302.5</v>
      </c>
    </row>
    <row r="496" spans="1:8" x14ac:dyDescent="0.25">
      <c r="A496" t="s">
        <v>8</v>
      </c>
      <c r="B496" t="s">
        <v>191</v>
      </c>
      <c r="C496">
        <v>1</v>
      </c>
      <c r="D496" t="s">
        <v>301</v>
      </c>
      <c r="E496" t="s">
        <v>413</v>
      </c>
      <c r="F496">
        <v>0.08</v>
      </c>
      <c r="G496">
        <v>36970.559999999998</v>
      </c>
      <c r="H496">
        <v>2957.64</v>
      </c>
    </row>
    <row r="497" spans="1:8" x14ac:dyDescent="0.25">
      <c r="A497" t="s">
        <v>8</v>
      </c>
      <c r="B497" t="s">
        <v>191</v>
      </c>
      <c r="C497">
        <v>1</v>
      </c>
      <c r="D497" t="s">
        <v>301</v>
      </c>
      <c r="E497" t="s">
        <v>413</v>
      </c>
      <c r="F497">
        <v>0.06</v>
      </c>
      <c r="G497">
        <v>36970.559999999998</v>
      </c>
      <c r="H497">
        <v>2218.23</v>
      </c>
    </row>
    <row r="498" spans="1:8" x14ac:dyDescent="0.25">
      <c r="A498" t="s">
        <v>8</v>
      </c>
      <c r="B498" t="s">
        <v>191</v>
      </c>
      <c r="C498">
        <v>1</v>
      </c>
      <c r="D498" t="s">
        <v>311</v>
      </c>
      <c r="E498" t="s">
        <v>423</v>
      </c>
      <c r="F498">
        <v>0.05</v>
      </c>
      <c r="G498">
        <v>28060</v>
      </c>
      <c r="H498">
        <v>1403</v>
      </c>
    </row>
    <row r="499" spans="1:8" x14ac:dyDescent="0.25">
      <c r="A499" t="s">
        <v>8</v>
      </c>
      <c r="B499" t="s">
        <v>191</v>
      </c>
      <c r="C499">
        <v>1</v>
      </c>
      <c r="D499" t="s">
        <v>312</v>
      </c>
      <c r="E499" t="s">
        <v>424</v>
      </c>
      <c r="F499">
        <v>0.02</v>
      </c>
      <c r="G499">
        <v>7162.82</v>
      </c>
      <c r="H499">
        <v>143.26</v>
      </c>
    </row>
    <row r="500" spans="1:8" x14ac:dyDescent="0.25">
      <c r="A500" t="s">
        <v>8</v>
      </c>
      <c r="B500" t="s">
        <v>191</v>
      </c>
      <c r="C500">
        <v>1</v>
      </c>
      <c r="D500" t="s">
        <v>313</v>
      </c>
      <c r="E500" t="s">
        <v>425</v>
      </c>
      <c r="F500">
        <v>0.02</v>
      </c>
      <c r="G500">
        <v>10032</v>
      </c>
      <c r="H500">
        <v>200.64</v>
      </c>
    </row>
    <row r="501" spans="1:8" x14ac:dyDescent="0.25">
      <c r="A501" t="s">
        <v>8</v>
      </c>
      <c r="B501" t="s">
        <v>191</v>
      </c>
      <c r="C501">
        <v>1</v>
      </c>
      <c r="D501" t="s">
        <v>313</v>
      </c>
      <c r="E501" t="s">
        <v>425</v>
      </c>
      <c r="F501">
        <v>0.06</v>
      </c>
      <c r="G501">
        <v>10032</v>
      </c>
      <c r="H501">
        <v>601.91999999999996</v>
      </c>
    </row>
    <row r="502" spans="1:8" x14ac:dyDescent="0.25">
      <c r="A502" t="s">
        <v>8</v>
      </c>
      <c r="B502" t="s">
        <v>192</v>
      </c>
      <c r="C502">
        <v>1</v>
      </c>
      <c r="D502" t="s">
        <v>203</v>
      </c>
      <c r="E502" t="s">
        <v>314</v>
      </c>
      <c r="F502">
        <v>0.5</v>
      </c>
      <c r="G502">
        <v>585</v>
      </c>
      <c r="H502">
        <v>292.5</v>
      </c>
    </row>
    <row r="503" spans="1:8" x14ac:dyDescent="0.25">
      <c r="A503" t="s">
        <v>8</v>
      </c>
      <c r="B503" t="s">
        <v>192</v>
      </c>
      <c r="C503">
        <v>1</v>
      </c>
      <c r="D503" t="s">
        <v>204</v>
      </c>
      <c r="E503" t="s">
        <v>315</v>
      </c>
      <c r="F503">
        <v>0.5</v>
      </c>
      <c r="G503">
        <v>554</v>
      </c>
      <c r="H503">
        <v>277</v>
      </c>
    </row>
    <row r="504" spans="1:8" x14ac:dyDescent="0.25">
      <c r="A504" t="s">
        <v>8</v>
      </c>
      <c r="B504" t="s">
        <v>193</v>
      </c>
      <c r="C504">
        <v>1</v>
      </c>
      <c r="D504" t="s">
        <v>207</v>
      </c>
      <c r="E504" t="s">
        <v>318</v>
      </c>
      <c r="F504">
        <v>0.5</v>
      </c>
      <c r="G504">
        <v>966</v>
      </c>
      <c r="H504">
        <v>483</v>
      </c>
    </row>
    <row r="505" spans="1:8" x14ac:dyDescent="0.25">
      <c r="A505" t="s">
        <v>8</v>
      </c>
      <c r="B505" t="s">
        <v>193</v>
      </c>
      <c r="C505">
        <v>1</v>
      </c>
      <c r="D505" t="s">
        <v>205</v>
      </c>
      <c r="E505" t="s">
        <v>316</v>
      </c>
      <c r="F505">
        <v>0.5</v>
      </c>
      <c r="G505">
        <v>929</v>
      </c>
      <c r="H505">
        <v>464.5</v>
      </c>
    </row>
    <row r="506" spans="1:8" x14ac:dyDescent="0.25">
      <c r="A506" t="s">
        <v>8</v>
      </c>
      <c r="B506" t="s">
        <v>194</v>
      </c>
      <c r="C506">
        <v>1</v>
      </c>
      <c r="D506" t="s">
        <v>205</v>
      </c>
      <c r="E506" t="s">
        <v>316</v>
      </c>
      <c r="F506">
        <v>0.5</v>
      </c>
      <c r="G506">
        <v>929</v>
      </c>
      <c r="H506">
        <v>464.5</v>
      </c>
    </row>
    <row r="507" spans="1:8" x14ac:dyDescent="0.25">
      <c r="A507" t="s">
        <v>8</v>
      </c>
      <c r="B507" t="s">
        <v>195</v>
      </c>
      <c r="C507">
        <v>1</v>
      </c>
      <c r="D507" t="s">
        <v>205</v>
      </c>
      <c r="E507" t="s">
        <v>316</v>
      </c>
      <c r="F507">
        <v>0.5</v>
      </c>
      <c r="G507">
        <v>929</v>
      </c>
      <c r="H507">
        <v>464.5</v>
      </c>
    </row>
    <row r="508" spans="1:8" x14ac:dyDescent="0.25">
      <c r="A508" t="s">
        <v>8</v>
      </c>
      <c r="B508" t="s">
        <v>196</v>
      </c>
      <c r="C508">
        <v>1</v>
      </c>
      <c r="D508" t="s">
        <v>203</v>
      </c>
      <c r="E508" t="s">
        <v>314</v>
      </c>
      <c r="F508">
        <v>1.5</v>
      </c>
      <c r="G508">
        <v>603</v>
      </c>
      <c r="H508">
        <v>904.5</v>
      </c>
    </row>
    <row r="509" spans="1:8" x14ac:dyDescent="0.25">
      <c r="A509" t="s">
        <v>8</v>
      </c>
      <c r="B509" t="s">
        <v>196</v>
      </c>
      <c r="C509">
        <v>1</v>
      </c>
      <c r="D509" t="s">
        <v>204</v>
      </c>
      <c r="E509" t="s">
        <v>315</v>
      </c>
      <c r="F509">
        <v>1</v>
      </c>
      <c r="G509">
        <v>571</v>
      </c>
      <c r="H509">
        <v>571</v>
      </c>
    </row>
    <row r="510" spans="1:8" x14ac:dyDescent="0.25">
      <c r="A510" t="s">
        <v>8</v>
      </c>
      <c r="B510" t="s">
        <v>197</v>
      </c>
      <c r="C510">
        <v>1</v>
      </c>
      <c r="D510" t="s">
        <v>205</v>
      </c>
      <c r="E510" t="s">
        <v>316</v>
      </c>
      <c r="F510">
        <v>0.5</v>
      </c>
      <c r="G510">
        <v>929</v>
      </c>
      <c r="H510">
        <v>464.5</v>
      </c>
    </row>
    <row r="511" spans="1:8" x14ac:dyDescent="0.25">
      <c r="A511" t="s">
        <v>8</v>
      </c>
      <c r="B511" t="s">
        <v>197</v>
      </c>
      <c r="C511">
        <v>1</v>
      </c>
      <c r="D511" t="s">
        <v>207</v>
      </c>
      <c r="E511" t="s">
        <v>318</v>
      </c>
      <c r="F511">
        <v>0.5</v>
      </c>
      <c r="G511">
        <v>966</v>
      </c>
      <c r="H511">
        <v>483</v>
      </c>
    </row>
    <row r="512" spans="1:8" x14ac:dyDescent="0.25">
      <c r="A512" t="s">
        <v>8</v>
      </c>
      <c r="B512" t="s">
        <v>198</v>
      </c>
      <c r="C512">
        <v>1</v>
      </c>
      <c r="D512" t="s">
        <v>204</v>
      </c>
      <c r="E512" t="s">
        <v>315</v>
      </c>
      <c r="F512">
        <v>1</v>
      </c>
      <c r="G512">
        <v>554</v>
      </c>
      <c r="H512">
        <v>554</v>
      </c>
    </row>
    <row r="513" spans="1:8" x14ac:dyDescent="0.25">
      <c r="A513" t="s">
        <v>8</v>
      </c>
      <c r="B513" t="s">
        <v>198</v>
      </c>
      <c r="C513">
        <v>1</v>
      </c>
      <c r="D513" t="s">
        <v>232</v>
      </c>
      <c r="E513" t="s">
        <v>343</v>
      </c>
      <c r="F513">
        <v>1</v>
      </c>
      <c r="G513">
        <v>199</v>
      </c>
      <c r="H513">
        <v>199</v>
      </c>
    </row>
    <row r="514" spans="1:8" x14ac:dyDescent="0.25">
      <c r="A514" t="s">
        <v>8</v>
      </c>
      <c r="B514" t="s">
        <v>199</v>
      </c>
      <c r="C514">
        <v>1</v>
      </c>
      <c r="D514" t="s">
        <v>205</v>
      </c>
      <c r="E514" t="s">
        <v>316</v>
      </c>
      <c r="F514">
        <v>2</v>
      </c>
      <c r="G514">
        <v>929</v>
      </c>
      <c r="H514">
        <v>1858</v>
      </c>
    </row>
    <row r="515" spans="1:8" x14ac:dyDescent="0.25">
      <c r="A515" t="s">
        <v>8</v>
      </c>
      <c r="B515" t="s">
        <v>199</v>
      </c>
      <c r="C515">
        <v>1</v>
      </c>
      <c r="D515" t="s">
        <v>207</v>
      </c>
      <c r="E515" t="s">
        <v>318</v>
      </c>
      <c r="F515">
        <v>1</v>
      </c>
      <c r="G515">
        <v>966</v>
      </c>
      <c r="H515">
        <v>966</v>
      </c>
    </row>
    <row r="516" spans="1:8" x14ac:dyDescent="0.25">
      <c r="A516" t="s">
        <v>8</v>
      </c>
      <c r="B516" t="s">
        <v>199</v>
      </c>
      <c r="C516">
        <v>1</v>
      </c>
      <c r="D516" t="s">
        <v>206</v>
      </c>
      <c r="E516" t="s">
        <v>317</v>
      </c>
      <c r="F516">
        <v>1</v>
      </c>
      <c r="G516">
        <v>605</v>
      </c>
      <c r="H516">
        <v>605</v>
      </c>
    </row>
    <row r="517" spans="1:8" x14ac:dyDescent="0.25">
      <c r="A517" t="s">
        <v>8</v>
      </c>
      <c r="B517" t="s">
        <v>200</v>
      </c>
      <c r="C517">
        <v>1</v>
      </c>
      <c r="D517" t="s">
        <v>207</v>
      </c>
      <c r="E517" t="s">
        <v>318</v>
      </c>
      <c r="F517">
        <v>1</v>
      </c>
      <c r="G517">
        <v>966</v>
      </c>
      <c r="H517">
        <v>966</v>
      </c>
    </row>
    <row r="518" spans="1:8" x14ac:dyDescent="0.25">
      <c r="A518" t="s">
        <v>8</v>
      </c>
      <c r="B518" t="s">
        <v>200</v>
      </c>
      <c r="C518">
        <v>1</v>
      </c>
      <c r="D518" t="s">
        <v>205</v>
      </c>
      <c r="E518" t="s">
        <v>316</v>
      </c>
      <c r="F518">
        <v>1.5</v>
      </c>
      <c r="G518">
        <v>929</v>
      </c>
      <c r="H518">
        <v>1393.5</v>
      </c>
    </row>
    <row r="519" spans="1:8" x14ac:dyDescent="0.25">
      <c r="A519" t="s">
        <v>8</v>
      </c>
      <c r="B519" t="s">
        <v>200</v>
      </c>
      <c r="C519">
        <v>1</v>
      </c>
      <c r="D519" t="s">
        <v>206</v>
      </c>
      <c r="E519" t="s">
        <v>317</v>
      </c>
      <c r="F519">
        <v>1</v>
      </c>
      <c r="G519">
        <v>605</v>
      </c>
      <c r="H519">
        <v>605</v>
      </c>
    </row>
    <row r="520" spans="1:8" x14ac:dyDescent="0.25">
      <c r="A520" t="s">
        <v>8</v>
      </c>
      <c r="B520" t="s">
        <v>200</v>
      </c>
      <c r="C520">
        <v>1</v>
      </c>
      <c r="D520" t="s">
        <v>227</v>
      </c>
      <c r="E520" t="s">
        <v>338</v>
      </c>
      <c r="F520">
        <v>0.5</v>
      </c>
      <c r="G520">
        <v>1527</v>
      </c>
      <c r="H520">
        <v>763.5</v>
      </c>
    </row>
    <row r="521" spans="1:8" x14ac:dyDescent="0.25">
      <c r="A521" t="s">
        <v>8</v>
      </c>
      <c r="B521" t="s">
        <v>200</v>
      </c>
      <c r="C521">
        <v>1</v>
      </c>
      <c r="D521" t="s">
        <v>284</v>
      </c>
      <c r="E521" t="s">
        <v>396</v>
      </c>
      <c r="F521">
        <v>0.15</v>
      </c>
      <c r="G521">
        <v>3740</v>
      </c>
      <c r="H521">
        <v>561</v>
      </c>
    </row>
    <row r="522" spans="1:8" x14ac:dyDescent="0.25">
      <c r="A522" t="s">
        <v>8</v>
      </c>
      <c r="B522" t="s">
        <v>201</v>
      </c>
      <c r="C522">
        <v>1</v>
      </c>
      <c r="D522" t="s">
        <v>306</v>
      </c>
      <c r="E522" t="s">
        <v>418</v>
      </c>
      <c r="F522">
        <v>0.5</v>
      </c>
      <c r="G522">
        <v>543</v>
      </c>
      <c r="H522">
        <v>271.5</v>
      </c>
    </row>
    <row r="523" spans="1:8" x14ac:dyDescent="0.25">
      <c r="A523" t="s">
        <v>8</v>
      </c>
      <c r="B523" t="s">
        <v>202</v>
      </c>
      <c r="C523">
        <v>1</v>
      </c>
      <c r="D523" t="s">
        <v>205</v>
      </c>
      <c r="E523" t="s">
        <v>316</v>
      </c>
      <c r="F523">
        <v>0.5</v>
      </c>
      <c r="G523">
        <v>929</v>
      </c>
      <c r="H523">
        <v>464.5</v>
      </c>
    </row>
    <row r="524" spans="1:8" x14ac:dyDescent="0.25">
      <c r="A524" t="s">
        <v>8</v>
      </c>
      <c r="B524" t="s">
        <v>202</v>
      </c>
      <c r="C524">
        <v>1</v>
      </c>
      <c r="D524" t="s">
        <v>206</v>
      </c>
      <c r="E524" t="s">
        <v>317</v>
      </c>
      <c r="F524">
        <v>0.5</v>
      </c>
      <c r="G524">
        <v>605</v>
      </c>
      <c r="H524">
        <v>302.5</v>
      </c>
    </row>
  </sheetData>
  <sortState xmlns:xlrd2="http://schemas.microsoft.com/office/spreadsheetml/2017/richdata2" ref="L2:N524">
    <sortCondition descending="1" ref="N2:N5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Lionel BEAUDET</cp:lastModifiedBy>
  <dcterms:created xsi:type="dcterms:W3CDTF">2026-01-15T16:55:31Z</dcterms:created>
  <dcterms:modified xsi:type="dcterms:W3CDTF">2026-01-15T17:17:37Z</dcterms:modified>
</cp:coreProperties>
</file>